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ctrlProps/ctrlProps2.xml" ContentType="application/vnd.ms-excel.controlproperties+xml"/>
  <Override PartName="/xl/ctrlProps/ctrlProps3.xml" ContentType="application/vnd.ms-excel.controlpropertie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Equipe" sheetId="1" state="visible" r:id="rId4"/>
    <sheet name="Récap" sheetId="2" state="visible" r:id="rId5"/>
    <sheet name="Planning Global Futura" sheetId="3" state="visible" r:id="rId6"/>
    <sheet name="Feuil1" sheetId="4" state="visible" r:id="rId7"/>
  </sheets>
  <definedNames>
    <definedName function="false" hidden="false" localSheetId="2" name="_xlnm.Print_Area" vbProcedure="false">'Planning Global Futura'!$A$1:$AB$28</definedName>
    <definedName function="false" hidden="true" localSheetId="2" name="_xlnm._FilterDatabase" vbProcedure="false">'Planning Global Futura'!$A$5:$AB$139</definedName>
  </definedNames>
  <calcPr iterateCount="100" refMode="A1" iterate="false" iterateDelta="0.0001"/>
  <pivotCaches>
    <pivotCache cacheId="1" r:id="rId9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<sst xmlns="http://schemas.openxmlformats.org/spreadsheetml/2006/main" count="241" uniqueCount="139">
  <si>
    <t xml:space="preserve">STE</t>
  </si>
  <si>
    <t xml:space="preserve">CE</t>
  </si>
  <si>
    <t xml:space="preserve">Total heures CE</t>
  </si>
  <si>
    <t xml:space="preserve">ACE</t>
  </si>
  <si>
    <t xml:space="preserve">Nb pers</t>
  </si>
  <si>
    <t xml:space="preserve">Total heures</t>
  </si>
  <si>
    <t xml:space="preserve">EFFECTIF ACTUEL</t>
  </si>
  <si>
    <t xml:space="preserve">TRI</t>
  </si>
  <si>
    <t xml:space="preserve">BESOIN / EMBAUCHE</t>
  </si>
  <si>
    <t xml:space="preserve">EUP</t>
  </si>
  <si>
    <t xml:space="preserve">GERALDINE</t>
  </si>
  <si>
    <t xml:space="preserve">FLORE</t>
  </si>
  <si>
    <t xml:space="preserve">SOPHIE F</t>
  </si>
  <si>
    <t xml:space="preserve">CFP</t>
  </si>
  <si>
    <t xml:space="preserve">LAETITIA</t>
  </si>
  <si>
    <t xml:space="preserve">SOLENNE</t>
  </si>
  <si>
    <t xml:space="preserve">CAMILLE</t>
  </si>
  <si>
    <t xml:space="preserve">PA</t>
  </si>
  <si>
    <t xml:space="preserve">CLYDE</t>
  </si>
  <si>
    <t xml:space="preserve">CHLOE</t>
  </si>
  <si>
    <t xml:space="preserve">MAUD</t>
  </si>
  <si>
    <t xml:space="preserve">NP</t>
  </si>
  <si>
    <t xml:space="preserve">CHRISTELLE</t>
  </si>
  <si>
    <t xml:space="preserve">Autre 3</t>
  </si>
  <si>
    <t xml:space="preserve">Autre CE 3</t>
  </si>
  <si>
    <t xml:space="preserve">Sem</t>
  </si>
  <si>
    <t xml:space="preserve">- tout -</t>
  </si>
  <si>
    <t xml:space="preserve">Société</t>
  </si>
  <si>
    <t xml:space="preserve">CE HEURES</t>
  </si>
  <si>
    <t xml:space="preserve">N°
de
CDE</t>
  </si>
  <si>
    <t xml:space="preserve">Typologie produit</t>
  </si>
  <si>
    <t xml:space="preserve">Montant prév</t>
  </si>
  <si>
    <t xml:space="preserve">Total Hrs allouées</t>
  </si>
  <si>
    <t xml:space="preserve">Somme de Nb
pièces</t>
  </si>
  <si>
    <t xml:space="preserve">Heures Restantes</t>
  </si>
  <si>
    <t xml:space="preserve">(vide)</t>
  </si>
  <si>
    <t xml:space="preserve">1800743</t>
  </si>
  <si>
    <t xml:space="preserve">1802021</t>
  </si>
  <si>
    <t xml:space="preserve">SAC CADEAU</t>
  </si>
  <si>
    <t xml:space="preserve">1802493</t>
  </si>
  <si>
    <t xml:space="preserve">GRILLAGE ET ACCESSOIRES</t>
  </si>
  <si>
    <t xml:space="preserve">1802839</t>
  </si>
  <si>
    <t xml:space="preserve">PERLES CREATIVES</t>
  </si>
  <si>
    <t xml:space="preserve">1802901</t>
  </si>
  <si>
    <t xml:space="preserve">GRANDS OUTILS DE JARDIN</t>
  </si>
  <si>
    <t xml:space="preserve">1803456</t>
  </si>
  <si>
    <t xml:space="preserve">CUSTOMISATION TEXTILE</t>
  </si>
  <si>
    <t xml:space="preserve">1803472</t>
  </si>
  <si>
    <t xml:space="preserve">AUTRES LUMINEUX PERMANENTS</t>
  </si>
  <si>
    <t xml:space="preserve">1803481</t>
  </si>
  <si>
    <t xml:space="preserve">PLAID</t>
  </si>
  <si>
    <t xml:space="preserve">1804061</t>
  </si>
  <si>
    <t xml:space="preserve">RIDEAU</t>
  </si>
  <si>
    <t xml:space="preserve">Objectif productivité</t>
  </si>
  <si>
    <t xml:space="preserve">1804098</t>
  </si>
  <si>
    <t xml:space="preserve">HOUSSE D'AMEUBLEMENT</t>
  </si>
  <si>
    <t xml:space="preserve">Heure effectif</t>
  </si>
  <si>
    <t xml:space="preserve">5407279</t>
  </si>
  <si>
    <t xml:space="preserve">TEE SHIRT MANCHES LONGUES ENFANT</t>
  </si>
  <si>
    <t xml:space="preserve">Objectif en €</t>
  </si>
  <si>
    <t xml:space="preserve">5407404</t>
  </si>
  <si>
    <t xml:space="preserve">CHAISE / FAUTEUIL / TREPIED / TA</t>
  </si>
  <si>
    <t xml:space="preserve">€ plannifié</t>
  </si>
  <si>
    <t xml:space="preserve">5409874</t>
  </si>
  <si>
    <t xml:space="preserve">BOITE ALIM VERRE UNITE</t>
  </si>
  <si>
    <t xml:space="preserve">5410972</t>
  </si>
  <si>
    <t xml:space="preserve">PANIER ET BOITE FIBRE VEGETALE</t>
  </si>
  <si>
    <t xml:space="preserve">5411410</t>
  </si>
  <si>
    <t xml:space="preserve">6005733</t>
  </si>
  <si>
    <t xml:space="preserve">MASQUE VISAGE UNITAIRE</t>
  </si>
  <si>
    <t xml:space="preserve">6005769</t>
  </si>
  <si>
    <t xml:space="preserve">PLAIDS ET COUVERTURES</t>
  </si>
  <si>
    <t xml:space="preserve">6006051</t>
  </si>
  <si>
    <t xml:space="preserve">ASSIETTES CREUSES CERAMIQUE</t>
  </si>
  <si>
    <t xml:space="preserve">6006057</t>
  </si>
  <si>
    <t xml:space="preserve">ENSEMBLE 2 OU 3 PCES ENFANT</t>
  </si>
  <si>
    <t xml:space="preserve">6006130</t>
  </si>
  <si>
    <t xml:space="preserve">FIL A TRICOTER</t>
  </si>
  <si>
    <t xml:space="preserve">6006194</t>
  </si>
  <si>
    <t xml:space="preserve">SAC ISOTHERME (-10L)</t>
  </si>
  <si>
    <t xml:space="preserve">9001349</t>
  </si>
  <si>
    <t xml:space="preserve">FIGURINE GADGET/JOUET/LUDIQUE</t>
  </si>
  <si>
    <t xml:space="preserve">9001797</t>
  </si>
  <si>
    <t xml:space="preserve">9002962</t>
  </si>
  <si>
    <t xml:space="preserve">HABITAT ET TRANSPORT ANIMAUX</t>
  </si>
  <si>
    <t xml:space="preserve">9003100</t>
  </si>
  <si>
    <t xml:space="preserve">ARBRES A CHATS ET GRIFFOIRS</t>
  </si>
  <si>
    <t xml:space="preserve">(vide) Résultat</t>
  </si>
  <si>
    <t xml:space="preserve">Total Résultat</t>
  </si>
  <si>
    <t xml:space="preserve">PLANNING GLOBAL FUTURA</t>
  </si>
  <si>
    <t xml:space="preserve">Objectif</t>
  </si>
  <si>
    <t xml:space="preserve">Heures Allouées</t>
  </si>
  <si>
    <t xml:space="preserve">Suivi production</t>
  </si>
  <si>
    <t xml:space="preserve">HEURES</t>
  </si>
  <si>
    <t xml:space="preserve">hrs ACE</t>
  </si>
  <si>
    <t xml:space="preserve">ACE HRS</t>
  </si>
  <si>
    <t xml:space="preserve">Assistant CE</t>
  </si>
  <si>
    <t xml:space="preserve">Priorité
de traitement</t>
  </si>
  <si>
    <t xml:space="preserve">Valeur vente prévisionnelle</t>
  </si>
  <si>
    <t xml:space="preserve">Nb
pièces</t>
  </si>
  <si>
    <t xml:space="preserve">STATUT</t>
  </si>
  <si>
    <t xml:space="preserve">objectif cadence étiq</t>
  </si>
  <si>
    <t xml:space="preserve">objectif répart</t>
  </si>
  <si>
    <t xml:space="preserve">Cadence étiquetage reelle</t>
  </si>
  <si>
    <t xml:space="preserve">Heures 
allouées étiquetage</t>
  </si>
  <si>
    <t xml:space="preserve">Cadence parts</t>
  </si>
  <si>
    <t xml:space="preserve">Heures 
allouées Répart</t>
  </si>
  <si>
    <t xml:space="preserve">Total heures allouées</t>
  </si>
  <si>
    <t xml:space="preserve">nb pièces etiq.</t>
  </si>
  <si>
    <t xml:space="preserve">nb pièces répart</t>
  </si>
  <si>
    <t xml:space="preserve"> Etiq.</t>
  </si>
  <si>
    <t xml:space="preserve">Parts</t>
  </si>
  <si>
    <t xml:space="preserve">nb heure etiquet. Restant</t>
  </si>
  <si>
    <t xml:space="preserve">nb heure parts Restant</t>
  </si>
  <si>
    <t xml:space="preserve">Avancement heure</t>
  </si>
  <si>
    <t xml:space="preserve">5410507</t>
  </si>
  <si>
    <t xml:space="preserve">TAIE D OREILLER ET TRAVERSIN</t>
  </si>
  <si>
    <t xml:space="preserve">BL - Bloqué</t>
  </si>
  <si>
    <t xml:space="preserve">9002931</t>
  </si>
  <si>
    <t xml:space="preserve">PINCEAUX DE PEINTURE</t>
  </si>
  <si>
    <t xml:space="preserve">6006204</t>
  </si>
  <si>
    <t xml:space="preserve">9002695</t>
  </si>
  <si>
    <t xml:space="preserve">ACCESSOIRES ET EQUIPEMENTS  EXTERIEURS A</t>
  </si>
  <si>
    <t xml:space="preserve">9002912</t>
  </si>
  <si>
    <t xml:space="preserve">AUTRES OUTILLAGE DIVERS</t>
  </si>
  <si>
    <t xml:space="preserve">EP - Envoi au CP</t>
  </si>
  <si>
    <t xml:space="preserve">VA - Validé avec le CP</t>
  </si>
  <si>
    <t xml:space="preserve">DELAUNAY MARIE FRANCE</t>
  </si>
  <si>
    <t xml:space="preserve">5409277</t>
  </si>
  <si>
    <t xml:space="preserve">PELUCHES TRADITIONNELLES</t>
  </si>
  <si>
    <t xml:space="preserve">DESCHAMPS SOLENNE</t>
  </si>
  <si>
    <t xml:space="preserve">5411379</t>
  </si>
  <si>
    <t xml:space="preserve">AUTRES ELEMENTS MOBILIER DE JARD</t>
  </si>
  <si>
    <t xml:space="preserve">5410148</t>
  </si>
  <si>
    <t xml:space="preserve">PACK DE SOUS VETEMENTS FEMME</t>
  </si>
  <si>
    <t xml:space="preserve">1803082</t>
  </si>
  <si>
    <t xml:space="preserve">PLAGE - FEMME</t>
  </si>
  <si>
    <t xml:space="preserve">5411797</t>
  </si>
  <si>
    <t xml:space="preserve">MARQUEUR CREATIF</t>
  </si>
</sst>
</file>

<file path=xl/styles.xml><?xml version="1.0" encoding="utf-8"?>
<styleSheet xmlns="http://schemas.openxmlformats.org/spreadsheetml/2006/main">
  <numFmts count="11">
    <numFmt numFmtId="164" formatCode="#,##0&quot; €&quot;"/>
    <numFmt numFmtId="165" formatCode="#,##0&quot; hrs&quot;"/>
    <numFmt numFmtId="166" formatCode="General"/>
    <numFmt numFmtId="167" formatCode="_-* #,##0.00\ _€_-;\-* #,##0.00\ _€_-;_-* \-??\ _€_-;_-@_-"/>
    <numFmt numFmtId="168" formatCode="#,##0\h"/>
    <numFmt numFmtId="169" formatCode="0.0"/>
    <numFmt numFmtId="170" formatCode="0"/>
    <numFmt numFmtId="171" formatCode="#,##0"/>
    <numFmt numFmtId="172" formatCode="#,##0.00"/>
    <numFmt numFmtId="173" formatCode="0\ %"/>
    <numFmt numFmtId="174" formatCode="0.0_ ;\-0.0\ "/>
  </numFmts>
  <fonts count="1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0"/>
      <charset val="1"/>
    </font>
    <font>
      <sz val="10"/>
      <color theme="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0"/>
      <color theme="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sz val="20"/>
      <color theme="0"/>
      <name val="Arial"/>
      <family val="2"/>
      <charset val="1"/>
    </font>
    <font>
      <b val="true"/>
      <sz val="17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8"/>
      <name val="Arial"/>
      <family val="2"/>
      <charset val="1"/>
    </font>
    <font>
      <b val="true"/>
      <sz val="9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1"/>
        <bgColor rgb="FF003300"/>
      </patternFill>
    </fill>
    <fill>
      <patternFill patternType="solid">
        <fgColor theme="0" tint="-0.15"/>
        <bgColor rgb="FFC0C0C0"/>
      </patternFill>
    </fill>
    <fill>
      <patternFill patternType="solid">
        <fgColor rgb="FF66FF33"/>
        <bgColor rgb="FF99FF66"/>
      </patternFill>
    </fill>
    <fill>
      <patternFill patternType="solid">
        <fgColor theme="4"/>
        <bgColor rgb="FF808080"/>
      </patternFill>
    </fill>
    <fill>
      <patternFill patternType="solid">
        <fgColor theme="8" tint="0.3999"/>
        <bgColor rgb="FFC0C0C0"/>
      </patternFill>
    </fill>
    <fill>
      <patternFill patternType="solid">
        <fgColor rgb="FF99FF66"/>
        <bgColor rgb="FF66FF33"/>
      </patternFill>
    </fill>
    <fill>
      <patternFill patternType="solid">
        <fgColor rgb="FFFFFF66"/>
        <bgColor rgb="FFFFFF99"/>
      </patternFill>
    </fill>
    <fill>
      <patternFill patternType="solid">
        <fgColor rgb="FFFFFF99"/>
        <bgColor rgb="FFFFFF66"/>
      </patternFill>
    </fill>
  </fills>
  <borders count="4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</borders>
  <cellStyleXfs count="28"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left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bottom" textRotation="0" wrapText="false" indent="0" shrinkToFit="false"/>
    </xf>
    <xf numFmtId="166" fontId="5" fillId="0" borderId="0" applyFont="true" applyBorder="false" applyAlignment="true" applyProtection="false">
      <alignment horizontal="left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48"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6" fillId="2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6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2" borderId="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7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4" borderId="1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68" fontId="0" fillId="3" borderId="1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6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7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6" fontId="7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6" fontId="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4" xfId="21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5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6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7" xfId="2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9" fontId="8" fillId="5" borderId="8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0" borderId="9" xfId="2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6" fontId="0" fillId="0" borderId="2" xfId="2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6" fontId="0" fillId="0" borderId="1" xfId="2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6" fontId="0" fillId="0" borderId="1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1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12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1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15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16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7" fillId="0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1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1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0" borderId="1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0" fillId="0" borderId="22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70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6" fontId="0" fillId="0" borderId="23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24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5" fillId="0" borderId="10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5" fillId="0" borderId="11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5" fillId="0" borderId="25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5" fillId="0" borderId="1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5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26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5" fillId="0" borderId="27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5" fillId="0" borderId="28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5" fillId="0" borderId="2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5" fillId="0" borderId="3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top" textRotation="0" wrapText="false" indent="0" shrinkToFit="false"/>
      <protection locked="false" hidden="false"/>
    </xf>
    <xf numFmtId="166" fontId="9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10" fillId="2" borderId="0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1" fillId="6" borderId="21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6" fontId="12" fillId="6" borderId="31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6" fontId="13" fillId="6" borderId="22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3" fillId="6" borderId="21" xfId="0" applyFont="true" applyBorder="true" applyAlignment="true" applyProtection="true">
      <alignment horizontal="right" vertical="top" textRotation="0" wrapText="false" indent="8" shrinkToFit="false"/>
      <protection locked="false" hidden="false"/>
    </xf>
    <xf numFmtId="166" fontId="0" fillId="6" borderId="32" xfId="0" applyFont="false" applyBorder="true" applyAlignment="true" applyProtection="true">
      <alignment horizontal="right" vertical="top" textRotation="0" wrapText="false" indent="8" shrinkToFit="false"/>
      <protection locked="false" hidden="false"/>
    </xf>
    <xf numFmtId="166" fontId="12" fillId="6" borderId="33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2" fillId="7" borderId="31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2" fillId="8" borderId="21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2" fillId="8" borderId="31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2" fillId="8" borderId="34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2" fillId="8" borderId="35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12" fillId="8" borderId="22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6" fontId="4" fillId="3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3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3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4" fillId="3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4" fillId="3" borderId="3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0" fillId="3" borderId="3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4" fillId="3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4" fillId="3" borderId="38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4" fillId="3" borderId="3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9" fillId="3" borderId="1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9" fillId="3" borderId="39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4" fillId="3" borderId="3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4" fillId="3" borderId="3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7" fillId="3" borderId="38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4" fillId="3" borderId="1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4" fillId="3" borderId="4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14" fillId="3" borderId="39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4" fillId="0" borderId="41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1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10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6" fontId="0" fillId="0" borderId="17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6" fontId="0" fillId="0" borderId="25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71" fontId="0" fillId="0" borderId="0" xfId="0" applyFont="false" applyBorder="false" applyAlignment="true" applyProtection="true">
      <alignment horizontal="right" vertical="top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right" vertical="top" textRotation="0" wrapText="false" indent="0" shrinkToFit="false"/>
      <protection locked="true" hidden="false"/>
    </xf>
    <xf numFmtId="166" fontId="9" fillId="0" borderId="14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71" fontId="0" fillId="9" borderId="25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71" fontId="0" fillId="0" borderId="1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71" fontId="0" fillId="9" borderId="1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71" fontId="0" fillId="0" borderId="42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0" borderId="42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70" fontId="0" fillId="9" borderId="41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70" fontId="0" fillId="9" borderId="1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73" fontId="0" fillId="0" borderId="23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74" fontId="0" fillId="0" borderId="23" xfId="15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3" fontId="7" fillId="0" borderId="43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9" fillId="0" borderId="17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0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71" fontId="0" fillId="0" borderId="0" xfId="0" applyFont="false" applyBorder="true" applyAlignment="true" applyProtection="true">
      <alignment horizontal="right" vertical="top" textRotation="0" wrapText="false" indent="0" shrinkToFit="false"/>
      <protection locked="true" hidden="false"/>
    </xf>
    <xf numFmtId="172" fontId="0" fillId="0" borderId="0" xfId="0" applyFont="false" applyBorder="true" applyAlignment="true" applyProtection="true">
      <alignment horizontal="right" vertical="top" textRotation="0" wrapText="false" indent="0" shrinkToFit="false"/>
      <protection locked="true" hidden="false"/>
    </xf>
    <xf numFmtId="166" fontId="0" fillId="0" borderId="25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66" fontId="4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9" fillId="0" borderId="17" xfId="0" applyFont="true" applyBorder="true" applyAlignment="true" applyProtection="true">
      <alignment horizontal="right" vertical="top" textRotation="0" wrapText="false" indent="0" shrinkToFit="false"/>
      <protection locked="false" hidden="false"/>
    </xf>
    <xf numFmtId="165" fontId="7" fillId="0" borderId="42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71" fontId="9" fillId="0" borderId="12" xfId="0" applyFont="true" applyBorder="true" applyAlignment="true" applyProtection="true">
      <alignment horizontal="right" vertical="top" textRotation="0" wrapText="false" indent="0" shrinkToFit="false"/>
      <protection locked="false" hidden="false"/>
    </xf>
    <xf numFmtId="166" fontId="4" fillId="0" borderId="9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2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0" borderId="44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6" fontId="0" fillId="0" borderId="18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71" fontId="9" fillId="0" borderId="1" xfId="0" applyFont="true" applyBorder="true" applyAlignment="true" applyProtection="true">
      <alignment horizontal="right" vertical="top" textRotation="0" wrapText="false" indent="0" shrinkToFit="false"/>
      <protection locked="false" hidden="false"/>
    </xf>
    <xf numFmtId="171" fontId="0" fillId="9" borderId="45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71" fontId="0" fillId="0" borderId="2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71" fontId="0" fillId="0" borderId="46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5" fontId="7" fillId="0" borderId="1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3" fontId="0" fillId="0" borderId="1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74" fontId="0" fillId="0" borderId="1" xfId="15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3" fontId="7" fillId="0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0" borderId="1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10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0" xfId="0" applyFont="false" applyBorder="true" applyAlignment="true" applyProtection="true">
      <alignment horizontal="center" vertical="top" textRotation="0" wrapText="false" indent="0" shrinkToFit="false"/>
      <protection locked="false" hidden="false"/>
    </xf>
    <xf numFmtId="166" fontId="0" fillId="0" borderId="0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66" fontId="9" fillId="0" borderId="0" xf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6" fontId="0" fillId="0" borderId="0" xfId="0" applyFont="false" applyBorder="true" applyAlignment="true" applyProtection="true">
      <alignment horizontal="center" vertical="center" textRotation="0" wrapText="false" indent="0" shrinkToFit="false"/>
      <protection locked="fals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atégorie de la table dynamique" xfId="20"/>
    <cellStyle name="Champ de la table dynamique" xfId="21"/>
    <cellStyle name="Coin de la table dynamique" xfId="22"/>
    <cellStyle name="Milliers 2" xfId="23"/>
    <cellStyle name="Normal 2" xfId="24"/>
    <cellStyle name="Résultat de la table dynamique" xfId="25"/>
    <cellStyle name="Titre de la table dynamique" xfId="26"/>
    <cellStyle name="Valeur de la table dynamique" xfId="27"/>
  </cellStyles>
  <dxfs count="12">
    <dxf>
      <fill>
        <patternFill patternType="solid">
          <fgColor rgb="FFD9D9D9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FF99"/>
          <bgColor rgb="FF000000"/>
        </patternFill>
      </fill>
    </dxf>
    <dxf>
      <numFmt numFmtId="164" formatCode="#,##0&quot; €&quot;"/>
    </dxf>
    <dxf>
      <numFmt numFmtId="164" formatCode="#,##0&quot; €&quot;"/>
    </dxf>
    <dxf>
      <font>
        <b val="1"/>
      </font>
    </dxf>
    <dxf>
      <numFmt numFmtId="165" formatCode="#,##0&quot; hrs&quot;"/>
    </dxf>
    <dxf>
      <numFmt numFmtId="165" formatCode="#,##0&quot; hrs&quot;"/>
    </dxf>
    <dxf/>
    <dxf>
      <font>
        <b val="1"/>
      </font>
    </dxf>
    <dxf>
      <font>
        <b val="1"/>
      </font>
    </dxf>
  </dxfs>
  <colors>
    <indexedColors>
      <rgbColor rgb="FF000000"/>
      <rgbColor rgb="FFFFFFFF"/>
      <rgbColor rgb="FFFF0000"/>
      <rgbColor rgb="FF00FF00"/>
      <rgbColor rgb="FF0000FF"/>
      <rgbColor rgb="FFFFFF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93CDDD"/>
      <rgbColor rgb="FFFF99CC"/>
      <rgbColor rgb="FFCC99FF"/>
      <rgbColor rgb="FFFFCC99"/>
      <rgbColor rgb="FF3366FF"/>
      <rgbColor rgb="FF33CCCC"/>
      <rgbColor rgb="FF66FF33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<Relationship Id="rId9" Type="http://schemas.openxmlformats.org/officeDocument/2006/relationships/pivotCacheDefinition" Target="pivotCache/pivotCacheDefinition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30600</xdr:colOff>
          <xdr:row>3</xdr:row>
          <xdr:rowOff>23040</xdr:rowOff>
        </xdr:from>
        <xdr:to>
          <xdr:col>10</xdr:col>
          <xdr:colOff>320040</xdr:colOff>
          <xdr:row>4</xdr:row>
          <xdr:rowOff>-45720</xdr:rowOff>
        </xdr:to>
        <xdr:sp>
          <xdr:nvSpPr>
            <xdr:cNvPr id="1001" name="CommandButton1" descr="Effacer les donné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Effacer les données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23040</xdr:rowOff>
        </xdr:from>
        <xdr:to>
          <xdr:col>11</xdr:col>
          <xdr:colOff>-1280160</xdr:colOff>
          <xdr:row>4</xdr:row>
          <xdr:rowOff>-45720</xdr:rowOff>
        </xdr:to>
        <xdr:sp>
          <xdr:nvSpPr>
            <xdr:cNvPr id="1002" name="CommandButton2" descr="Trier Donné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Trier Données</a:t>
              </a:r>
            </a:p>
          </xdr:txBody>
        </xdr:sp>
        <xdr:clientData/>
      </xdr:twoCellAnchor>
    </mc:Choice>
  </mc:AlternateContent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88" createdVersion="3">
  <cacheSource type="worksheet">
    <worksheetSource ref="A5:U93" sheet="Planning Global Futura"/>
  </cacheSource>
  <cacheFields count="21">
    <cacheField name="Société" numFmtId="0">
      <sharedItems containsString="0" containsBlank="1" count="1">
        <m/>
      </sharedItems>
    </cacheField>
    <cacheField name="CE" numFmtId="0">
      <sharedItems containsBlank="1" count="2">
        <s v=""/>
        <m/>
      </sharedItems>
    </cacheField>
    <cacheField name="HEURES" numFmtId="0">
      <sharedItems containsBlank="1" count="2">
        <s v=""/>
        <m/>
      </sharedItems>
    </cacheField>
    <cacheField name="CE HEURES" numFmtId="0">
      <sharedItems containsBlank="1" count="2">
        <s v=""/>
        <m/>
      </sharedItems>
    </cacheField>
    <cacheField name="hrs ACE" numFmtId="0">
      <sharedItems containsBlank="1" count="2">
        <e v="#N/D"/>
        <m/>
      </sharedItems>
    </cacheField>
    <cacheField name="ACE HRS" numFmtId="0">
      <sharedItems containsBlank="1" count="2">
        <e v="#N/D"/>
        <m/>
      </sharedItems>
    </cacheField>
    <cacheField name="Sem" numFmtId="0">
      <sharedItems containsString="0" containsBlank="1" count="1">
        <m/>
      </sharedItems>
    </cacheField>
    <cacheField name="Assistant CE" numFmtId="0">
      <sharedItems containsBlank="1" count="3">
        <s v="DELAUNAY MARIE FRANCE"/>
        <s v="DESCHAMPS SOLENNE"/>
        <m/>
      </sharedItems>
    </cacheField>
    <cacheField name="Priorité&#10;de traitement" numFmtId="0">
      <sharedItems containsString="0" containsBlank="1" count="1">
        <m/>
      </sharedItems>
    </cacheField>
    <cacheField name="N°&#10;de&#10;CDE" numFmtId="0">
      <sharedItems containsBlank="1" count="36">
        <s v="1800743"/>
        <s v="1802021"/>
        <s v="1802493"/>
        <s v="1802839"/>
        <s v="1802901"/>
        <s v="1803082"/>
        <s v="1803456"/>
        <s v="1803472"/>
        <s v="1803481"/>
        <s v="1804061"/>
        <s v="1804098"/>
        <s v="5407279"/>
        <s v="5407404"/>
        <s v="5409277"/>
        <s v="5409874"/>
        <s v="5410148"/>
        <s v="5410507"/>
        <s v="5410972"/>
        <s v="5411379"/>
        <s v="5411410"/>
        <s v="5411797"/>
        <s v="6005733"/>
        <s v="6005769"/>
        <s v="6006051"/>
        <s v="6006057"/>
        <s v="6006130"/>
        <s v="6006194"/>
        <s v="6006204"/>
        <s v="9001349"/>
        <s v="9001797"/>
        <s v="9002695"/>
        <s v="9002912"/>
        <s v="9002931"/>
        <s v="9002962"/>
        <s v="9003100"/>
        <m/>
      </sharedItems>
    </cacheField>
    <cacheField name="Typologie produit" numFmtId="0">
      <sharedItems containsBlank="1" count="32">
        <s v="ACCESSOIRES ET EQUIPEMENTS  EXTERIEURS A"/>
        <s v="ARBRES A CHATS ET GRIFFOIRS"/>
        <s v="ASSIETTES CREUSES CERAMIQUE"/>
        <s v="AUTRES ELEMENTS MOBILIER DE JARD"/>
        <s v="AUTRES LUMINEUX PERMANENTS"/>
        <s v="AUTRES OUTILLAGE DIVERS"/>
        <s v="BOITE ALIM VERRE UNITE"/>
        <s v="CHAISE / FAUTEUIL / TREPIED / TA"/>
        <s v="CUSTOMISATION TEXTILE"/>
        <s v="ENSEMBLE 2 OU 3 PCES ENFANT"/>
        <s v="FIGURINE GADGET/JOUET/LUDIQUE"/>
        <s v="FIL A TRICOTER"/>
        <s v="GRANDS OUTILS DE JARDIN"/>
        <s v="GRILLAGE ET ACCESSOIRES"/>
        <s v="HABITAT ET TRANSPORT ANIMAUX"/>
        <s v="HOUSSE D'AMEUBLEMENT"/>
        <s v="MARQUEUR CREATIF"/>
        <s v="MASQUE VISAGE UNITAIRE"/>
        <s v="PACK DE SOUS VETEMENTS FEMME"/>
        <s v="PANIER ET BOITE FIBRE VEGETALE"/>
        <s v="PELUCHES TRADITIONNELLES"/>
        <s v="PERLES CREATIVES"/>
        <s v="PINCEAUX DE PEINTURE"/>
        <s v="PLAGE - FEMME"/>
        <s v="PLAID"/>
        <s v="PLAIDS ET COUVERTURES"/>
        <s v="RIDEAU"/>
        <s v="SAC CADEAU"/>
        <s v="SAC ISOTHERME (-10L)"/>
        <s v="TAIE D OREILLER ET TRAVERSIN"/>
        <s v="TEE SHIRT MANCHES LONGUES ENFANT"/>
        <m/>
      </sharedItems>
    </cacheField>
    <cacheField name="Valeur vente prévisionnelle" numFmtId="0">
      <sharedItems containsString="0" containsBlank="1" containsNumber="1" containsInteger="1" minValue="1501" maxValue="305338" count="37">
        <n v="1501"/>
        <n v="11503"/>
        <n v="15234"/>
        <n v="16005"/>
        <n v="22944"/>
        <n v="25502"/>
        <n v="28128"/>
        <n v="31500"/>
        <n v="36457"/>
        <n v="38895"/>
        <n v="39169"/>
        <n v="49326"/>
        <n v="49895"/>
        <n v="51659"/>
        <n v="57203"/>
        <n v="62339"/>
        <n v="67331"/>
        <n v="68417"/>
        <n v="71620"/>
        <n v="72927"/>
        <n v="82336"/>
        <n v="89246"/>
        <n v="92508"/>
        <n v="98572"/>
        <n v="106149"/>
        <n v="106397"/>
        <n v="120355"/>
        <n v="121494"/>
        <n v="129898"/>
        <n v="130197"/>
        <n v="146509"/>
        <n v="150120"/>
        <n v="151051"/>
        <n v="161360"/>
        <n v="224819"/>
        <n v="305338"/>
        <m/>
      </sharedItems>
    </cacheField>
    <cacheField name="Nb&#10;pièces" numFmtId="0">
      <sharedItems containsString="0" containsBlank="1" containsNumber="1" containsInteger="1" minValue="502" maxValue="168800" count="37">
        <n v="502"/>
        <n v="2613"/>
        <n v="3320"/>
        <n v="3384"/>
        <n v="3404"/>
        <n v="4550"/>
        <n v="4598"/>
        <n v="4799"/>
        <n v="5625"/>
        <n v="6426"/>
        <n v="7198"/>
        <n v="7320"/>
        <n v="9000"/>
        <n v="9900"/>
        <n v="11080"/>
        <n v="13227"/>
        <n v="13656"/>
        <n v="16497"/>
        <n v="16716"/>
        <n v="17320"/>
        <n v="17885"/>
        <n v="20554"/>
        <n v="22280"/>
        <n v="23891"/>
        <n v="28127"/>
        <n v="28656"/>
        <n v="32556"/>
        <n v="32883"/>
        <n v="35504"/>
        <n v="36700"/>
        <n v="53319"/>
        <n v="53440"/>
        <n v="74162"/>
        <n v="76872"/>
        <n v="92953"/>
        <n v="168800"/>
        <m/>
      </sharedItems>
    </cacheField>
    <cacheField name="STATUT" numFmtId="0">
      <sharedItems containsBlank="1" count="4">
        <s v="BL - Bloqué"/>
        <s v="EP - Envoi au CP"/>
        <s v="VA - Validé avec le CP"/>
        <m/>
      </sharedItems>
    </cacheField>
    <cacheField name="objectif cadence étiq" numFmtId="0">
      <sharedItems containsString="0" containsBlank="1" containsNumber="1" minValue="0" maxValue="4000" count="31">
        <n v="0"/>
        <n v="36.31"/>
        <n v="81.42"/>
        <n v="106.61"/>
        <n v="108.66"/>
        <n v="126.23"/>
        <n v="134.52"/>
        <n v="140.78"/>
        <n v="141.88"/>
        <n v="142.62"/>
        <n v="154.35"/>
        <n v="159.14"/>
        <n v="159.19"/>
        <n v="166.61"/>
        <n v="184.6"/>
        <n v="200.31"/>
        <n v="204.72"/>
        <n v="205.27"/>
        <n v="209.47"/>
        <n v="211.75"/>
        <n v="215.77"/>
        <n v="243.95"/>
        <n v="269.99"/>
        <n v="301.54"/>
        <n v="304.71"/>
        <n v="313.28"/>
        <n v="332.58"/>
        <n v="417.26"/>
        <n v="472"/>
        <n v="4000"/>
        <m/>
      </sharedItems>
    </cacheField>
    <cacheField name="objectif répart" numFmtId="0">
      <sharedItems containsString="0" containsBlank="1" count="1">
        <m/>
      </sharedItems>
    </cacheField>
    <cacheField name="Cadence étiquetage reelle" numFmtId="0">
      <sharedItems containsString="0" containsBlank="1" containsNumber="1" minValue="0" maxValue="4000" count="28">
        <n v="0"/>
        <n v="36.31"/>
        <n v="81.42"/>
        <n v="106.61"/>
        <n v="108.66"/>
        <n v="126.23"/>
        <n v="134.52"/>
        <n v="141.88"/>
        <n v="142.62"/>
        <n v="154.35"/>
        <n v="159.14"/>
        <n v="159.19"/>
        <n v="166.61"/>
        <n v="184.6"/>
        <n v="205.27"/>
        <n v="209.47"/>
        <n v="211.75"/>
        <n v="243.95"/>
        <n v="250"/>
        <n v="300"/>
        <n v="301.54"/>
        <n v="313.28"/>
        <n v="332.58"/>
        <n v="360"/>
        <n v="417.26"/>
        <n v="800"/>
        <n v="4000"/>
        <m/>
      </sharedItems>
    </cacheField>
    <cacheField name="Heures &#10;allouées étiquetage" numFmtId="0">
      <sharedItems containsString="0" containsBlank="1" containsNumber="1" minValue="0" maxValue="657.97301019003" count="36">
        <n v="0"/>
        <n v="2.475"/>
        <n v="3.97686762259368"/>
        <n v="11.0101479074086"/>
        <n v="14.1549295774648"/>
        <n v="21.3899710946337"/>
        <n v="23.23825"/>
        <n v="35.6603497832124"/>
        <n v="36"/>
        <n v="39.6461798703129"/>
        <n v="39.7708821937579"/>
        <n v="41.5088913387337"/>
        <n v="41.5622697126013"/>
        <n v="42.6789231779383"/>
        <n v="44.1652862138782"/>
        <n v="45.0567942785023"/>
        <n v="53.5087719298246"/>
        <n v="68.5133333333333"/>
        <n v="77.6889636797083"/>
        <n v="78.9421487603306"/>
        <n v="79.6"/>
        <n v="87.129146977152"/>
        <n v="98.6222222222222"/>
        <n v="106.880466472303"/>
        <n v="108.183474609839"/>
        <n v="117.14759959142"/>
        <n v="133.725466658664"/>
        <n v="134.794015167042"/>
        <n v="204.510333563666"/>
        <n v="211"/>
        <n v="256.24"/>
        <n v="354.045925430849"/>
        <n v="422.395627030025"/>
        <n v="423.354194723917"/>
        <n v="657.97301019003"/>
        <m/>
      </sharedItems>
    </cacheField>
    <cacheField name="Cadence parts" numFmtId="0">
      <sharedItems containsString="0" containsBlank="1" containsNumber="1" containsInteger="1" minValue="0" maxValue="0" count="2">
        <n v="0"/>
        <m/>
      </sharedItems>
    </cacheField>
    <cacheField name="Heures &#10;allouées Répart" numFmtId="0">
      <sharedItems containsString="0" containsBlank="1" containsNumber="1" containsInteger="1" minValue="0" maxValue="0" count="2">
        <n v="0"/>
        <m/>
      </sharedItems>
    </cacheField>
    <cacheField name="Total heures allouées" numFmtId="0">
      <sharedItems containsString="0" containsBlank="1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x v="0"/>
    <x v="0"/>
    <x v="0"/>
    <x v="1"/>
    <x v="0"/>
    <x v="0"/>
    <x v="0"/>
    <x v="2"/>
    <x v="0"/>
    <x v="16"/>
    <x v="29"/>
    <x v="29"/>
    <x v="22"/>
    <x v="0"/>
    <x v="13"/>
    <x v="0"/>
    <x v="12"/>
    <x v="26"/>
    <x v="0"/>
    <x v="0"/>
    <x v="0"/>
  </r>
  <r>
    <x v="0"/>
    <x v="0"/>
    <x v="0"/>
    <x v="1"/>
    <x v="0"/>
    <x v="0"/>
    <x v="0"/>
    <x v="2"/>
    <x v="0"/>
    <x v="32"/>
    <x v="22"/>
    <x v="9"/>
    <x v="28"/>
    <x v="0"/>
    <x v="16"/>
    <x v="0"/>
    <x v="23"/>
    <x v="22"/>
    <x v="0"/>
    <x v="0"/>
    <x v="0"/>
  </r>
  <r>
    <x v="0"/>
    <x v="0"/>
    <x v="0"/>
    <x v="1"/>
    <x v="0"/>
    <x v="0"/>
    <x v="0"/>
    <x v="2"/>
    <x v="0"/>
    <x v="27"/>
    <x v="31"/>
    <x v="22"/>
    <x v="24"/>
    <x v="0"/>
    <x v="0"/>
    <x v="0"/>
    <x v="0"/>
    <x v="0"/>
    <x v="0"/>
    <x v="0"/>
    <x v="0"/>
  </r>
  <r>
    <x v="0"/>
    <x v="0"/>
    <x v="0"/>
    <x v="1"/>
    <x v="0"/>
    <x v="0"/>
    <x v="0"/>
    <x v="2"/>
    <x v="0"/>
    <x v="30"/>
    <x v="0"/>
    <x v="17"/>
    <x v="2"/>
    <x v="0"/>
    <x v="23"/>
    <x v="0"/>
    <x v="20"/>
    <x v="3"/>
    <x v="0"/>
    <x v="0"/>
    <x v="0"/>
  </r>
  <r>
    <x v="0"/>
    <x v="0"/>
    <x v="0"/>
    <x v="1"/>
    <x v="0"/>
    <x v="0"/>
    <x v="0"/>
    <x v="2"/>
    <x v="0"/>
    <x v="31"/>
    <x v="5"/>
    <x v="14"/>
    <x v="29"/>
    <x v="0"/>
    <x v="25"/>
    <x v="0"/>
    <x v="21"/>
    <x v="25"/>
    <x v="0"/>
    <x v="0"/>
    <x v="0"/>
  </r>
  <r>
    <x v="0"/>
    <x v="0"/>
    <x v="0"/>
    <x v="0"/>
    <x v="0"/>
    <x v="0"/>
    <x v="0"/>
    <x v="2"/>
    <x v="0"/>
    <x v="7"/>
    <x v="4"/>
    <x v="7"/>
    <x v="12"/>
    <x v="1"/>
    <x v="7"/>
    <x v="0"/>
    <x v="18"/>
    <x v="8"/>
    <x v="0"/>
    <x v="0"/>
    <x v="0"/>
  </r>
  <r>
    <x v="0"/>
    <x v="0"/>
    <x v="0"/>
    <x v="0"/>
    <x v="0"/>
    <x v="0"/>
    <x v="0"/>
    <x v="2"/>
    <x v="0"/>
    <x v="34"/>
    <x v="1"/>
    <x v="21"/>
    <x v="20"/>
    <x v="1"/>
    <x v="17"/>
    <x v="0"/>
    <x v="14"/>
    <x v="21"/>
    <x v="0"/>
    <x v="0"/>
    <x v="0"/>
  </r>
  <r>
    <x v="0"/>
    <x v="0"/>
    <x v="0"/>
    <x v="0"/>
    <x v="0"/>
    <x v="0"/>
    <x v="0"/>
    <x v="2"/>
    <x v="0"/>
    <x v="3"/>
    <x v="21"/>
    <x v="12"/>
    <x v="19"/>
    <x v="1"/>
    <x v="27"/>
    <x v="0"/>
    <x v="24"/>
    <x v="11"/>
    <x v="0"/>
    <x v="0"/>
    <x v="0"/>
  </r>
  <r>
    <x v="0"/>
    <x v="0"/>
    <x v="0"/>
    <x v="0"/>
    <x v="0"/>
    <x v="0"/>
    <x v="0"/>
    <x v="2"/>
    <x v="0"/>
    <x v="10"/>
    <x v="15"/>
    <x v="13"/>
    <x v="16"/>
    <x v="1"/>
    <x v="5"/>
    <x v="0"/>
    <x v="5"/>
    <x v="24"/>
    <x v="0"/>
    <x v="0"/>
    <x v="0"/>
  </r>
  <r>
    <x v="0"/>
    <x v="0"/>
    <x v="0"/>
    <x v="0"/>
    <x v="0"/>
    <x v="0"/>
    <x v="0"/>
    <x v="2"/>
    <x v="0"/>
    <x v="26"/>
    <x v="28"/>
    <x v="33"/>
    <x v="21"/>
    <x v="1"/>
    <x v="20"/>
    <x v="0"/>
    <x v="19"/>
    <x v="17"/>
    <x v="0"/>
    <x v="0"/>
    <x v="0"/>
  </r>
  <r>
    <x v="0"/>
    <x v="0"/>
    <x v="0"/>
    <x v="0"/>
    <x v="0"/>
    <x v="0"/>
    <x v="0"/>
    <x v="2"/>
    <x v="0"/>
    <x v="25"/>
    <x v="11"/>
    <x v="26"/>
    <x v="25"/>
    <x v="1"/>
    <x v="22"/>
    <x v="0"/>
    <x v="23"/>
    <x v="20"/>
    <x v="0"/>
    <x v="0"/>
    <x v="0"/>
  </r>
  <r>
    <x v="0"/>
    <x v="0"/>
    <x v="0"/>
    <x v="0"/>
    <x v="0"/>
    <x v="0"/>
    <x v="0"/>
    <x v="2"/>
    <x v="0"/>
    <x v="33"/>
    <x v="14"/>
    <x v="19"/>
    <x v="11"/>
    <x v="1"/>
    <x v="17"/>
    <x v="0"/>
    <x v="14"/>
    <x v="7"/>
    <x v="0"/>
    <x v="0"/>
    <x v="0"/>
  </r>
  <r>
    <x v="0"/>
    <x v="0"/>
    <x v="0"/>
    <x v="0"/>
    <x v="0"/>
    <x v="0"/>
    <x v="0"/>
    <x v="2"/>
    <x v="0"/>
    <x v="28"/>
    <x v="10"/>
    <x v="27"/>
    <x v="8"/>
    <x v="2"/>
    <x v="8"/>
    <x v="0"/>
    <x v="7"/>
    <x v="9"/>
    <x v="0"/>
    <x v="0"/>
    <x v="0"/>
  </r>
  <r>
    <x v="0"/>
    <x v="0"/>
    <x v="0"/>
    <x v="0"/>
    <x v="0"/>
    <x v="0"/>
    <x v="0"/>
    <x v="0"/>
    <x v="0"/>
    <x v="11"/>
    <x v="30"/>
    <x v="3"/>
    <x v="5"/>
    <x v="2"/>
    <x v="3"/>
    <x v="0"/>
    <x v="3"/>
    <x v="13"/>
    <x v="0"/>
    <x v="0"/>
    <x v="0"/>
  </r>
  <r>
    <x v="0"/>
    <x v="0"/>
    <x v="0"/>
    <x v="0"/>
    <x v="0"/>
    <x v="0"/>
    <x v="0"/>
    <x v="0"/>
    <x v="0"/>
    <x v="29"/>
    <x v="19"/>
    <x v="1"/>
    <x v="9"/>
    <x v="2"/>
    <x v="9"/>
    <x v="0"/>
    <x v="8"/>
    <x v="15"/>
    <x v="0"/>
    <x v="0"/>
    <x v="0"/>
  </r>
  <r>
    <x v="0"/>
    <x v="0"/>
    <x v="0"/>
    <x v="0"/>
    <x v="0"/>
    <x v="0"/>
    <x v="0"/>
    <x v="2"/>
    <x v="0"/>
    <x v="0"/>
    <x v="31"/>
    <x v="4"/>
    <x v="6"/>
    <x v="2"/>
    <x v="0"/>
    <x v="0"/>
    <x v="0"/>
    <x v="0"/>
    <x v="0"/>
    <x v="0"/>
    <x v="0"/>
  </r>
  <r>
    <x v="0"/>
    <x v="0"/>
    <x v="0"/>
    <x v="0"/>
    <x v="0"/>
    <x v="0"/>
    <x v="0"/>
    <x v="2"/>
    <x v="0"/>
    <x v="2"/>
    <x v="13"/>
    <x v="18"/>
    <x v="10"/>
    <x v="2"/>
    <x v="6"/>
    <x v="0"/>
    <x v="6"/>
    <x v="16"/>
    <x v="0"/>
    <x v="0"/>
    <x v="0"/>
  </r>
  <r>
    <x v="0"/>
    <x v="0"/>
    <x v="0"/>
    <x v="0"/>
    <x v="0"/>
    <x v="0"/>
    <x v="0"/>
    <x v="2"/>
    <x v="0"/>
    <x v="22"/>
    <x v="25"/>
    <x v="2"/>
    <x v="4"/>
    <x v="2"/>
    <x v="11"/>
    <x v="0"/>
    <x v="10"/>
    <x v="5"/>
    <x v="0"/>
    <x v="0"/>
    <x v="0"/>
  </r>
  <r>
    <x v="0"/>
    <x v="0"/>
    <x v="0"/>
    <x v="0"/>
    <x v="0"/>
    <x v="0"/>
    <x v="0"/>
    <x v="2"/>
    <x v="0"/>
    <x v="12"/>
    <x v="7"/>
    <x v="15"/>
    <x v="7"/>
    <x v="2"/>
    <x v="4"/>
    <x v="0"/>
    <x v="4"/>
    <x v="14"/>
    <x v="0"/>
    <x v="0"/>
    <x v="0"/>
  </r>
  <r>
    <x v="0"/>
    <x v="0"/>
    <x v="0"/>
    <x v="0"/>
    <x v="0"/>
    <x v="0"/>
    <x v="0"/>
    <x v="2"/>
    <x v="0"/>
    <x v="8"/>
    <x v="24"/>
    <x v="0"/>
    <x v="0"/>
    <x v="2"/>
    <x v="5"/>
    <x v="0"/>
    <x v="5"/>
    <x v="2"/>
    <x v="0"/>
    <x v="0"/>
    <x v="0"/>
  </r>
  <r>
    <x v="0"/>
    <x v="0"/>
    <x v="0"/>
    <x v="0"/>
    <x v="0"/>
    <x v="0"/>
    <x v="0"/>
    <x v="2"/>
    <x v="0"/>
    <x v="21"/>
    <x v="17"/>
    <x v="6"/>
    <x v="15"/>
    <x v="2"/>
    <x v="26"/>
    <x v="0"/>
    <x v="22"/>
    <x v="10"/>
    <x v="0"/>
    <x v="0"/>
    <x v="0"/>
  </r>
  <r>
    <x v="0"/>
    <x v="0"/>
    <x v="0"/>
    <x v="0"/>
    <x v="0"/>
    <x v="0"/>
    <x v="0"/>
    <x v="2"/>
    <x v="0"/>
    <x v="1"/>
    <x v="27"/>
    <x v="31"/>
    <x v="35"/>
    <x v="2"/>
    <x v="28"/>
    <x v="0"/>
    <x v="25"/>
    <x v="29"/>
    <x v="0"/>
    <x v="0"/>
    <x v="0"/>
  </r>
  <r>
    <x v="0"/>
    <x v="1"/>
    <x v="1"/>
    <x v="1"/>
    <x v="0"/>
    <x v="0"/>
    <x v="0"/>
    <x v="2"/>
    <x v="0"/>
    <x v="13"/>
    <x v="20"/>
    <x v="28"/>
    <x v="26"/>
    <x v="2"/>
    <x v="12"/>
    <x v="0"/>
    <x v="11"/>
    <x v="28"/>
    <x v="0"/>
    <x v="0"/>
    <x v="0"/>
  </r>
  <r>
    <x v="0"/>
    <x v="0"/>
    <x v="0"/>
    <x v="0"/>
    <x v="0"/>
    <x v="0"/>
    <x v="0"/>
    <x v="2"/>
    <x v="0"/>
    <x v="24"/>
    <x v="9"/>
    <x v="5"/>
    <x v="3"/>
    <x v="2"/>
    <x v="2"/>
    <x v="0"/>
    <x v="2"/>
    <x v="12"/>
    <x v="0"/>
    <x v="0"/>
    <x v="0"/>
  </r>
  <r>
    <x v="0"/>
    <x v="0"/>
    <x v="0"/>
    <x v="0"/>
    <x v="0"/>
    <x v="0"/>
    <x v="0"/>
    <x v="1"/>
    <x v="0"/>
    <x v="6"/>
    <x v="8"/>
    <x v="20"/>
    <x v="34"/>
    <x v="2"/>
    <x v="24"/>
    <x v="0"/>
    <x v="26"/>
    <x v="6"/>
    <x v="0"/>
    <x v="0"/>
    <x v="0"/>
  </r>
  <r>
    <x v="0"/>
    <x v="0"/>
    <x v="0"/>
    <x v="0"/>
    <x v="0"/>
    <x v="0"/>
    <x v="0"/>
    <x v="2"/>
    <x v="0"/>
    <x v="17"/>
    <x v="19"/>
    <x v="8"/>
    <x v="14"/>
    <x v="2"/>
    <x v="9"/>
    <x v="0"/>
    <x v="8"/>
    <x v="18"/>
    <x v="0"/>
    <x v="0"/>
    <x v="0"/>
  </r>
  <r>
    <x v="0"/>
    <x v="0"/>
    <x v="0"/>
    <x v="0"/>
    <x v="0"/>
    <x v="0"/>
    <x v="0"/>
    <x v="2"/>
    <x v="0"/>
    <x v="14"/>
    <x v="6"/>
    <x v="35"/>
    <x v="33"/>
    <x v="2"/>
    <x v="15"/>
    <x v="0"/>
    <x v="19"/>
    <x v="30"/>
    <x v="0"/>
    <x v="0"/>
    <x v="0"/>
  </r>
  <r>
    <x v="0"/>
    <x v="0"/>
    <x v="0"/>
    <x v="0"/>
    <x v="0"/>
    <x v="0"/>
    <x v="0"/>
    <x v="2"/>
    <x v="0"/>
    <x v="4"/>
    <x v="12"/>
    <x v="30"/>
    <x v="18"/>
    <x v="2"/>
    <x v="19"/>
    <x v="0"/>
    <x v="16"/>
    <x v="19"/>
    <x v="0"/>
    <x v="0"/>
    <x v="0"/>
  </r>
  <r>
    <x v="0"/>
    <x v="0"/>
    <x v="0"/>
    <x v="0"/>
    <x v="0"/>
    <x v="0"/>
    <x v="0"/>
    <x v="2"/>
    <x v="0"/>
    <x v="23"/>
    <x v="2"/>
    <x v="34"/>
    <x v="32"/>
    <x v="2"/>
    <x v="18"/>
    <x v="0"/>
    <x v="15"/>
    <x v="31"/>
    <x v="0"/>
    <x v="0"/>
    <x v="0"/>
  </r>
  <r>
    <x v="0"/>
    <x v="0"/>
    <x v="0"/>
    <x v="0"/>
    <x v="0"/>
    <x v="0"/>
    <x v="0"/>
    <x v="2"/>
    <x v="0"/>
    <x v="9"/>
    <x v="26"/>
    <x v="10"/>
    <x v="1"/>
    <x v="2"/>
    <x v="14"/>
    <x v="0"/>
    <x v="13"/>
    <x v="4"/>
    <x v="0"/>
    <x v="0"/>
    <x v="0"/>
  </r>
  <r>
    <x v="0"/>
    <x v="0"/>
    <x v="0"/>
    <x v="0"/>
    <x v="0"/>
    <x v="0"/>
    <x v="0"/>
    <x v="2"/>
    <x v="0"/>
    <x v="19"/>
    <x v="15"/>
    <x v="24"/>
    <x v="30"/>
    <x v="2"/>
    <x v="5"/>
    <x v="0"/>
    <x v="5"/>
    <x v="32"/>
    <x v="0"/>
    <x v="0"/>
    <x v="0"/>
  </r>
  <r>
    <x v="0"/>
    <x v="0"/>
    <x v="0"/>
    <x v="0"/>
    <x v="0"/>
    <x v="0"/>
    <x v="0"/>
    <x v="2"/>
    <x v="0"/>
    <x v="19"/>
    <x v="15"/>
    <x v="25"/>
    <x v="31"/>
    <x v="2"/>
    <x v="5"/>
    <x v="0"/>
    <x v="5"/>
    <x v="33"/>
    <x v="0"/>
    <x v="0"/>
    <x v="0"/>
  </r>
  <r>
    <x v="0"/>
    <x v="0"/>
    <x v="0"/>
    <x v="1"/>
    <x v="0"/>
    <x v="0"/>
    <x v="0"/>
    <x v="2"/>
    <x v="0"/>
    <x v="18"/>
    <x v="3"/>
    <x v="32"/>
    <x v="23"/>
    <x v="2"/>
    <x v="1"/>
    <x v="0"/>
    <x v="1"/>
    <x v="34"/>
    <x v="0"/>
    <x v="0"/>
    <x v="0"/>
  </r>
  <r>
    <x v="0"/>
    <x v="0"/>
    <x v="0"/>
    <x v="1"/>
    <x v="0"/>
    <x v="0"/>
    <x v="0"/>
    <x v="2"/>
    <x v="0"/>
    <x v="15"/>
    <x v="18"/>
    <x v="23"/>
    <x v="27"/>
    <x v="2"/>
    <x v="21"/>
    <x v="0"/>
    <x v="17"/>
    <x v="27"/>
    <x v="0"/>
    <x v="0"/>
    <x v="0"/>
  </r>
  <r>
    <x v="0"/>
    <x v="0"/>
    <x v="0"/>
    <x v="1"/>
    <x v="0"/>
    <x v="0"/>
    <x v="0"/>
    <x v="2"/>
    <x v="0"/>
    <x v="5"/>
    <x v="23"/>
    <x v="11"/>
    <x v="17"/>
    <x v="2"/>
    <x v="10"/>
    <x v="0"/>
    <x v="9"/>
    <x v="23"/>
    <x v="0"/>
    <x v="0"/>
    <x v="0"/>
  </r>
  <r>
    <x v="0"/>
    <x v="0"/>
    <x v="0"/>
    <x v="1"/>
    <x v="0"/>
    <x v="0"/>
    <x v="0"/>
    <x v="1"/>
    <x v="0"/>
    <x v="20"/>
    <x v="16"/>
    <x v="16"/>
    <x v="13"/>
    <x v="2"/>
    <x v="29"/>
    <x v="0"/>
    <x v="26"/>
    <x v="1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0"/>
    <x v="0"/>
    <x v="0"/>
    <x v="2"/>
    <x v="0"/>
    <x v="35"/>
    <x v="31"/>
    <x v="36"/>
    <x v="36"/>
    <x v="3"/>
    <x v="30"/>
    <x v="0"/>
    <x v="0"/>
    <x v="0"/>
    <x v="0"/>
    <x v="0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  <r>
    <x v="0"/>
    <x v="0"/>
    <x v="0"/>
    <x v="1"/>
    <x v="1"/>
    <x v="1"/>
    <x v="0"/>
    <x v="2"/>
    <x v="0"/>
    <x v="35"/>
    <x v="31"/>
    <x v="36"/>
    <x v="36"/>
    <x v="3"/>
    <x v="30"/>
    <x v="0"/>
    <x v="27"/>
    <x v="35"/>
    <x v="1"/>
    <x v="1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0" dataCaption="Values" showDrill="1" useAutoFormatting="0" itemPrintTitles="1" indent="0" outline="0" outlineData="0" compact="0" compactData="0">
  <location ref="A3:G30" firstHeaderRow="0" firstDataRow="1" firstDataCol="4" rowPageCount="1" colPageCount="1"/>
  <pivotFields count="21">
    <pivotField axis="axisRow" compact="0" showAll="0" defaultSubtotal="0" outline="0">
      <items count="1">
        <item x="0"/>
      </items>
    </pivotField>
    <pivotField compact="0" showAll="0" outline="0"/>
    <pivotField compact="0" showAll="0" outline="0"/>
    <pivotField axis="axisRow" compact="0" showAll="0" outline="0">
      <items count="3">
        <item h="1" x="0"/>
        <item h="1" x="1"/>
        <item t="default"/>
      </items>
    </pivotField>
    <pivotField compact="0" showAll="0" outline="0"/>
    <pivotField compact="0" showAll="0" outline="0"/>
    <pivotField axis="axisPage" compact="0" showAll="0" defaultSubtotal="0" outline="0">
      <items count="1">
        <item x="0"/>
      </items>
    </pivotField>
    <pivotField compact="0" showAll="0" outline="0"/>
    <pivotField compact="0" showAll="0" outline="0"/>
    <pivotField axis="axisRow" compact="0" showAll="0" defaultSubtotal="0" outline="0">
      <items count="36">
        <item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axis="axisRow" compact="0" showAll="0" defaultSubtotal="0" outline="0">
      <items count="32">
        <item x="10"/>
        <item x="11"/>
        <item x="31"/>
        <item x="16"/>
        <item x="28"/>
        <item x="24"/>
        <item x="19"/>
        <item x="12"/>
        <item x="0"/>
        <item x="1"/>
        <item x="2"/>
        <item x="3"/>
        <item x="4"/>
        <item x="5"/>
        <item x="6"/>
        <item x="7"/>
        <item x="8"/>
        <item x="9"/>
        <item x="13"/>
        <item x="14"/>
        <item x="15"/>
        <item x="17"/>
        <item x="18"/>
        <item x="20"/>
        <item x="21"/>
        <item x="22"/>
        <item x="23"/>
        <item x="25"/>
        <item x="26"/>
        <item x="27"/>
        <item x="29"/>
        <item x="30"/>
      </items>
    </pivotField>
    <pivotField dataField="1" compact="0" showAll="0" outline="0"/>
    <pivotField dataField="1" compact="0" showAll="0" outline="0"/>
    <pivotField compact="0" showAll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dataField="1" compact="0" showAll="0" outline="0"/>
  </pivotFields>
  <rowFields count="4">
    <field x="0"/>
    <field x="3"/>
    <field x="9"/>
    <field x="10"/>
  </rowFields>
  <rowItems count="27">
    <i>
      <x v="0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 v="26"/>
    </i>
  </rowItems>
  <colFields count="1">
    <field x="-2"/>
  </colFields>
  <colItems count="1">
    <i t="grand">
      <x v="0"/>
    </i>
  </colItems>
  <pageFields count="1">
    <pageField fld="6" hier="-1"/>
  </pageFields>
  <dataFields count="3">
    <dataField name="Montant prév" fld="11" subtotal="sum" numFmtId="171"/>
    <dataField name="Total Hrs allouées" fld="20" subtotal="sum" numFmtId="166"/>
    <dataField name="Somme de Nb&#10;pièces" fld="12" subtotal="sum" numFmtId="171"/>
  </dataFields>
  <formats count="8">
    <format dxfId="4">
      <pivotArea outline="0" fieldPosition="0">
        <references count="1">
          <reference field="4294967294" count="1" selected="0">
            <x v="0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dataOnly="0" labelOnly="1" outline="0" fieldPosition="2"/>
    </format>
    <format dxfId="7">
      <pivotArea outline="0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dataOnly="0" labelOnly="1" outline="0" fieldPosition="0">
        <references count="1">
          <reference field="9" count="1"/>
        </references>
      </pivotArea>
    </format>
    <format dxfId="10">
      <pivotArea dataOnly="0" outline="0" fieldPosition="0">
        <references count="1">
          <reference field="10" count="1">
            <x v="43"/>
          </reference>
        </references>
      </pivotArea>
    </format>
    <format dxfId="11">
      <pivotArea dataOnly="0" labelOnly="1" outline="0" fieldPosition="0">
        <references count="4">
          <reference field="0" count="1" selected="0">
            <x v="2"/>
          </reference>
          <reference field="3" count="1" selected="0">
            <x v="15"/>
          </reference>
          <reference field="9" count="1" selected="0">
            <x v="9"/>
          </reference>
          <reference field="10" count="1">
            <x v="78"/>
          </reference>
        </references>
      </pivotArea>
    </format>
  </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E2" activeCellId="0" sqref="E2"/>
    </sheetView>
  </sheetViews>
  <sheetFormatPr defaultColWidth="10.54296875" defaultRowHeight="12.75" customHeight="false" zeroHeight="false" outlineLevelRow="0" outlineLevelCol="0"/>
  <cols>
    <col collapsed="false" customWidth="true" hidden="false" outlineLevel="0" max="1" min="1" style="1" width="18.42"/>
    <col collapsed="false" customWidth="true" hidden="false" outlineLevel="0" max="2" min="2" style="1" width="22.15"/>
    <col collapsed="false" customWidth="true" hidden="false" outlineLevel="0" max="3" min="3" style="1" width="18.42"/>
    <col collapsed="false" customWidth="true" hidden="false" outlineLevel="0" max="4" min="4" style="1" width="23.71"/>
  </cols>
  <sheetData>
    <row r="1" customFormat="false" ht="35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5" t="s">
        <v>8</v>
      </c>
      <c r="J1" s="2"/>
    </row>
    <row r="2" customFormat="false" ht="12.75" hidden="false" customHeight="false" outlineLevel="0" collapsed="false">
      <c r="A2" s="6" t="s">
        <v>9</v>
      </c>
      <c r="B2" s="7" t="s">
        <v>10</v>
      </c>
      <c r="C2" s="8" t="n">
        <v>680</v>
      </c>
      <c r="D2" s="9" t="s">
        <v>10</v>
      </c>
      <c r="E2" s="10" t="n">
        <v>12</v>
      </c>
      <c r="F2" s="11" t="n">
        <f aca="false">E2*35</f>
        <v>420</v>
      </c>
      <c r="G2" s="12" t="n">
        <v>8</v>
      </c>
      <c r="H2" s="12"/>
      <c r="I2" s="13"/>
      <c r="J2" s="13"/>
    </row>
    <row r="3" s="14" customFormat="true" ht="12.75" hidden="false" customHeight="false" outlineLevel="0" collapsed="false">
      <c r="A3" s="6"/>
      <c r="B3" s="7"/>
      <c r="C3" s="8"/>
      <c r="D3" s="9" t="s">
        <v>11</v>
      </c>
      <c r="E3" s="10" t="n">
        <v>8</v>
      </c>
      <c r="F3" s="11" t="n">
        <f aca="false">E3*35</f>
        <v>280</v>
      </c>
      <c r="G3" s="12" t="n">
        <v>8</v>
      </c>
      <c r="H3" s="12"/>
      <c r="I3" s="13"/>
      <c r="J3" s="13"/>
    </row>
    <row r="4" customFormat="false" ht="12.75" hidden="false" customHeight="false" outlineLevel="0" collapsed="false">
      <c r="A4" s="6"/>
      <c r="B4" s="7"/>
      <c r="C4" s="8"/>
      <c r="D4" s="9" t="s">
        <v>12</v>
      </c>
      <c r="E4" s="10" t="n">
        <v>10</v>
      </c>
      <c r="F4" s="11" t="n">
        <f aca="false">E4*35</f>
        <v>350</v>
      </c>
      <c r="G4" s="12" t="n">
        <v>8</v>
      </c>
      <c r="H4" s="12"/>
      <c r="I4" s="13"/>
      <c r="J4" s="13"/>
    </row>
    <row r="5" customFormat="false" ht="12.75" hidden="false" customHeight="false" outlineLevel="0" collapsed="false">
      <c r="A5" s="6" t="s">
        <v>13</v>
      </c>
      <c r="B5" s="6" t="s">
        <v>14</v>
      </c>
      <c r="C5" s="8" t="n">
        <v>495.75</v>
      </c>
      <c r="D5" s="9" t="s">
        <v>15</v>
      </c>
      <c r="E5" s="10" t="n">
        <v>5</v>
      </c>
      <c r="F5" s="11" t="n">
        <f aca="false">E5*35</f>
        <v>175</v>
      </c>
      <c r="G5" s="15" t="n">
        <v>8</v>
      </c>
      <c r="H5" s="15"/>
      <c r="I5" s="13"/>
      <c r="J5" s="13"/>
    </row>
    <row r="6" customFormat="false" ht="12.75" hidden="false" customHeight="false" outlineLevel="0" collapsed="false">
      <c r="A6" s="6"/>
      <c r="B6" s="6"/>
      <c r="C6" s="8"/>
      <c r="D6" s="9" t="s">
        <v>16</v>
      </c>
      <c r="E6" s="10" t="n">
        <v>10</v>
      </c>
      <c r="F6" s="11" t="n">
        <f aca="false">E6*35</f>
        <v>350</v>
      </c>
      <c r="G6" s="12" t="n">
        <v>8</v>
      </c>
      <c r="H6" s="12"/>
      <c r="I6" s="13"/>
      <c r="J6" s="13"/>
    </row>
    <row r="7" customFormat="false" ht="15" hidden="false" customHeight="true" outlineLevel="0" collapsed="false">
      <c r="A7" s="7" t="s">
        <v>17</v>
      </c>
      <c r="B7" s="7" t="s">
        <v>18</v>
      </c>
      <c r="C7" s="16" t="n">
        <v>482.75</v>
      </c>
      <c r="D7" s="9" t="s">
        <v>19</v>
      </c>
      <c r="E7" s="10" t="n">
        <v>7</v>
      </c>
      <c r="F7" s="11" t="n">
        <f aca="false">E7*35</f>
        <v>245</v>
      </c>
      <c r="G7" s="12" t="n">
        <v>8</v>
      </c>
      <c r="H7" s="12"/>
      <c r="I7" s="13"/>
      <c r="J7" s="13"/>
    </row>
    <row r="8" customFormat="false" ht="12.75" hidden="false" customHeight="false" outlineLevel="0" collapsed="false">
      <c r="A8" s="7"/>
      <c r="B8" s="7"/>
      <c r="C8" s="16"/>
      <c r="D8" s="9" t="s">
        <v>20</v>
      </c>
      <c r="E8" s="10" t="n">
        <v>7</v>
      </c>
      <c r="F8" s="11" t="n">
        <f aca="false">E8*35</f>
        <v>245</v>
      </c>
      <c r="G8" s="15" t="n">
        <v>8</v>
      </c>
      <c r="H8" s="12"/>
      <c r="I8" s="13"/>
      <c r="J8" s="13"/>
    </row>
    <row r="9" customFormat="false" ht="30.75" hidden="false" customHeight="true" outlineLevel="0" collapsed="false">
      <c r="A9" s="7" t="s">
        <v>21</v>
      </c>
      <c r="B9" s="7" t="s">
        <v>22</v>
      </c>
      <c r="C9" s="16" t="e">
        <f aca="false">#REF!+#REF!+F9</f>
        <v>#REF!</v>
      </c>
      <c r="D9" s="9" t="s">
        <v>22</v>
      </c>
      <c r="E9" s="10" t="n">
        <v>10</v>
      </c>
      <c r="F9" s="11" t="n">
        <f aca="false">E9*35</f>
        <v>350</v>
      </c>
      <c r="G9" s="12" t="n">
        <v>10</v>
      </c>
      <c r="H9" s="12"/>
      <c r="I9" s="13"/>
      <c r="J9" s="13"/>
    </row>
    <row r="10" customFormat="false" ht="12.75" hidden="false" customHeight="false" outlineLevel="0" collapsed="false">
      <c r="A10" s="6" t="s">
        <v>23</v>
      </c>
      <c r="B10" s="6" t="s">
        <v>24</v>
      </c>
      <c r="C10" s="8" t="n">
        <f aca="false">F10</f>
        <v>0</v>
      </c>
      <c r="D10" s="9"/>
      <c r="E10" s="10"/>
      <c r="F10" s="11" t="n">
        <f aca="false">E10*35</f>
        <v>0</v>
      </c>
      <c r="G10" s="12"/>
      <c r="H10" s="12"/>
      <c r="I10" s="13"/>
      <c r="J10" s="13"/>
    </row>
    <row r="12" customFormat="false" ht="12.75" hidden="false" customHeight="false" outlineLevel="0" collapsed="false">
      <c r="C12" s="17" t="e">
        <f aca="false">SUM(C2:C10)</f>
        <v>#REF!</v>
      </c>
    </row>
  </sheetData>
  <mergeCells count="9">
    <mergeCell ref="A2:A4"/>
    <mergeCell ref="B2:B4"/>
    <mergeCell ref="C2:C4"/>
    <mergeCell ref="A5:A6"/>
    <mergeCell ref="B5:B6"/>
    <mergeCell ref="C5:C6"/>
    <mergeCell ref="A7:A8"/>
    <mergeCell ref="B7:B8"/>
    <mergeCell ref="C7:C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I5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C10" activeCellId="0" sqref="C10"/>
    </sheetView>
  </sheetViews>
  <sheetFormatPr defaultColWidth="10.54296875" defaultRowHeight="12.75" customHeight="false" zeroHeight="false" outlineLevelRow="0" outlineLevelCol="0"/>
  <cols>
    <col collapsed="false" customWidth="true" hidden="false" outlineLevel="0" max="1" min="1" style="1" width="13.15"/>
    <col collapsed="false" customWidth="true" hidden="false" outlineLevel="0" max="2" min="2" style="18" width="32"/>
    <col collapsed="false" customWidth="true" hidden="false" outlineLevel="0" max="3" min="3" style="19" width="11.29"/>
    <col collapsed="false" customWidth="true" hidden="false" outlineLevel="0" max="4" min="4" style="20" width="19.42"/>
    <col collapsed="false" customWidth="true" hidden="false" outlineLevel="0" max="5" min="5" style="1" width="12.86"/>
    <col collapsed="false" customWidth="true" hidden="false" outlineLevel="0" max="6" min="6" style="21" width="17.42"/>
    <col collapsed="false" customWidth="true" hidden="false" outlineLevel="0" max="7" min="7" style="1" width="19.86"/>
    <col collapsed="false" customWidth="true" hidden="false" outlineLevel="0" max="8" min="8" style="22" width="27.42"/>
    <col collapsed="false" customWidth="true" hidden="false" outlineLevel="0" max="9" min="9" style="1" width="13.29"/>
  </cols>
  <sheetData>
    <row r="1" customFormat="false" ht="12.75" hidden="false" customHeight="false" outlineLevel="0" collapsed="false">
      <c r="A1" s="23" t="s">
        <v>25</v>
      </c>
      <c r="B1" s="24" t="s">
        <v>26</v>
      </c>
      <c r="C1" s="0"/>
      <c r="D1" s="0"/>
      <c r="E1" s="0"/>
      <c r="F1" s="0"/>
      <c r="G1" s="0"/>
    </row>
    <row r="2" customFormat="false" ht="12.75" hidden="false" customHeight="false" outlineLevel="0" collapsed="false">
      <c r="A2" s="0"/>
      <c r="B2" s="0"/>
      <c r="C2" s="0"/>
      <c r="D2" s="0"/>
      <c r="E2" s="0"/>
      <c r="F2" s="0"/>
      <c r="G2" s="0"/>
    </row>
    <row r="3" customFormat="false" ht="12.75" hidden="false" customHeight="false" outlineLevel="0" collapsed="false">
      <c r="A3" s="25" t="s">
        <v>27</v>
      </c>
      <c r="B3" s="26" t="s">
        <v>28</v>
      </c>
      <c r="C3" s="27" t="s">
        <v>29</v>
      </c>
      <c r="D3" s="27" t="s">
        <v>30</v>
      </c>
      <c r="E3" s="28" t="s">
        <v>31</v>
      </c>
      <c r="F3" s="29" t="s">
        <v>32</v>
      </c>
      <c r="G3" s="30" t="s">
        <v>33</v>
      </c>
      <c r="H3" s="31" t="s">
        <v>34</v>
      </c>
      <c r="I3" s="31"/>
    </row>
    <row r="4" customFormat="false" ht="12.75" hidden="false" customHeight="false" outlineLevel="0" collapsed="false">
      <c r="A4" s="32" t="s">
        <v>35</v>
      </c>
      <c r="B4" s="33" t="s">
        <v>35</v>
      </c>
      <c r="C4" s="34" t="s">
        <v>36</v>
      </c>
      <c r="D4" s="35" t="s">
        <v>35</v>
      </c>
      <c r="E4" s="36" t="n">
        <v>22944</v>
      </c>
      <c r="F4" s="37"/>
      <c r="G4" s="38" t="n">
        <v>4598</v>
      </c>
      <c r="H4" s="39" t="s">
        <v>10</v>
      </c>
      <c r="I4" s="40" t="e">
        <f aca="false">VLOOKUP(H4,Equipe!B:C,2,FALSE())-GETPIVOTDATA("Total Hrs allouées",$A$3,"Société","EUP2","CE HEURES",VLOOKUP(H4,'Planning Global Futura'!B:D,3,FALSE()))</f>
        <v>#N/A</v>
      </c>
    </row>
    <row r="5" customFormat="false" ht="12.75" hidden="false" customHeight="false" outlineLevel="0" collapsed="false">
      <c r="A5" s="41"/>
      <c r="B5" s="42"/>
      <c r="C5" s="34" t="s">
        <v>37</v>
      </c>
      <c r="D5" s="35" t="s">
        <v>38</v>
      </c>
      <c r="E5" s="36" t="n">
        <v>150120</v>
      </c>
      <c r="F5" s="37"/>
      <c r="G5" s="38" t="n">
        <v>168800</v>
      </c>
      <c r="H5" s="43" t="s">
        <v>14</v>
      </c>
      <c r="I5" s="44" t="e">
        <f aca="false">VLOOKUP(H5,Equipe!B:C,2,FALSE())-GETPIVOTDATA("Total Hrs allouées",$A$3,"Société","CFP2","CE HEURES",VLOOKUP(H5,'Planning Global Futura'!B:D,3,FALSE()))</f>
        <v>#N/A</v>
      </c>
    </row>
    <row r="6" customFormat="false" ht="12.75" hidden="false" customHeight="false" outlineLevel="0" collapsed="false">
      <c r="A6" s="41"/>
      <c r="B6" s="42"/>
      <c r="C6" s="34" t="s">
        <v>39</v>
      </c>
      <c r="D6" s="35" t="s">
        <v>40</v>
      </c>
      <c r="E6" s="36" t="n">
        <v>71620</v>
      </c>
      <c r="F6" s="37"/>
      <c r="G6" s="38" t="n">
        <v>7198</v>
      </c>
      <c r="H6" s="43" t="s">
        <v>18</v>
      </c>
      <c r="I6" s="45" t="e">
        <f aca="false">VLOOKUP(H6,Equipe!B:C,2,FALSE())-GETPIVOTDATA("Total Hrs allouées",$A$3,"Société","PA2","CE HEURES",VLOOKUP(H6,'Planning Global Futura'!B:D,3,FALSE()))</f>
        <v>#N/A</v>
      </c>
    </row>
    <row r="7" customFormat="false" ht="12.75" hidden="false" customHeight="false" outlineLevel="0" collapsed="false">
      <c r="A7" s="41"/>
      <c r="B7" s="42"/>
      <c r="C7" s="34" t="s">
        <v>41</v>
      </c>
      <c r="D7" s="35" t="s">
        <v>42</v>
      </c>
      <c r="E7" s="36" t="n">
        <v>49895</v>
      </c>
      <c r="F7" s="37"/>
      <c r="G7" s="38" t="n">
        <v>17320</v>
      </c>
      <c r="H7" s="46" t="s">
        <v>22</v>
      </c>
      <c r="I7" s="47" t="e">
        <f aca="false">VLOOKUP(H7,Equipe!B:C,2,FALSE())-GETPIVOTDATA("Total Hrs allouées",$A$3,"Société","NP","CE HEURES",VLOOKUP(H7,'Planning Global Futura'!B:D,3,FALSE()))</f>
        <v>#REF!</v>
      </c>
    </row>
    <row r="8" customFormat="false" ht="12.75" hidden="false" customHeight="false" outlineLevel="0" collapsed="false">
      <c r="A8" s="41"/>
      <c r="B8" s="42"/>
      <c r="C8" s="34" t="s">
        <v>43</v>
      </c>
      <c r="D8" s="35" t="s">
        <v>44</v>
      </c>
      <c r="E8" s="36" t="n">
        <v>146509</v>
      </c>
      <c r="F8" s="37"/>
      <c r="G8" s="38" t="n">
        <v>16716</v>
      </c>
      <c r="H8" s="48"/>
      <c r="I8" s="49" t="e">
        <f aca="false">Equipe!C12-GETPIVOTDATA("Total Hrs allouées",$A$3)</f>
        <v>#REF!</v>
      </c>
    </row>
    <row r="9" customFormat="false" ht="12.75" hidden="false" customHeight="false" outlineLevel="0" collapsed="false">
      <c r="A9" s="41"/>
      <c r="B9" s="42"/>
      <c r="C9" s="34" t="s">
        <v>45</v>
      </c>
      <c r="D9" s="35" t="s">
        <v>46</v>
      </c>
      <c r="E9" s="36" t="n">
        <v>82336</v>
      </c>
      <c r="F9" s="37"/>
      <c r="G9" s="38" t="n">
        <v>92953</v>
      </c>
      <c r="I9" s="19" t="e">
        <f aca="false">I8/7</f>
        <v>#REF!</v>
      </c>
    </row>
    <row r="10" customFormat="false" ht="12.75" hidden="false" customHeight="false" outlineLevel="0" collapsed="false">
      <c r="A10" s="41"/>
      <c r="B10" s="42"/>
      <c r="C10" s="34" t="s">
        <v>47</v>
      </c>
      <c r="D10" s="35" t="s">
        <v>48</v>
      </c>
      <c r="E10" s="36" t="n">
        <v>31500</v>
      </c>
      <c r="F10" s="37"/>
      <c r="G10" s="38" t="n">
        <v>9000</v>
      </c>
    </row>
    <row r="11" customFormat="false" ht="12.75" hidden="false" customHeight="false" outlineLevel="0" collapsed="false">
      <c r="A11" s="41"/>
      <c r="B11" s="42"/>
      <c r="C11" s="34" t="s">
        <v>49</v>
      </c>
      <c r="D11" s="35" t="s">
        <v>50</v>
      </c>
      <c r="E11" s="36" t="n">
        <v>1501</v>
      </c>
      <c r="F11" s="37"/>
      <c r="G11" s="38" t="n">
        <v>502</v>
      </c>
    </row>
    <row r="12" customFormat="false" ht="12.75" hidden="false" customHeight="false" outlineLevel="0" collapsed="false">
      <c r="A12" s="41"/>
      <c r="B12" s="42"/>
      <c r="C12" s="34" t="s">
        <v>51</v>
      </c>
      <c r="D12" s="35" t="s">
        <v>52</v>
      </c>
      <c r="E12" s="36" t="n">
        <v>39169</v>
      </c>
      <c r="F12" s="37"/>
      <c r="G12" s="38" t="n">
        <v>2613</v>
      </c>
      <c r="H12" s="50" t="s">
        <v>53</v>
      </c>
      <c r="I12" s="1" t="n">
        <v>550</v>
      </c>
    </row>
    <row r="13" customFormat="false" ht="12.75" hidden="false" customHeight="false" outlineLevel="0" collapsed="false">
      <c r="A13" s="41"/>
      <c r="B13" s="42"/>
      <c r="C13" s="34" t="s">
        <v>54</v>
      </c>
      <c r="D13" s="35" t="s">
        <v>55</v>
      </c>
      <c r="E13" s="36" t="n">
        <v>51659</v>
      </c>
      <c r="F13" s="37"/>
      <c r="G13" s="38" t="n">
        <v>13656</v>
      </c>
      <c r="H13" s="50" t="s">
        <v>56</v>
      </c>
      <c r="I13" s="1" t="n">
        <v>3513</v>
      </c>
    </row>
    <row r="14" customFormat="false" ht="12.75" hidden="false" customHeight="false" outlineLevel="0" collapsed="false">
      <c r="A14" s="41"/>
      <c r="B14" s="42"/>
      <c r="C14" s="34" t="s">
        <v>57</v>
      </c>
      <c r="D14" s="35" t="s">
        <v>58</v>
      </c>
      <c r="E14" s="36" t="n">
        <v>16005</v>
      </c>
      <c r="F14" s="37"/>
      <c r="G14" s="38" t="n">
        <v>4550</v>
      </c>
      <c r="H14" s="50" t="s">
        <v>59</v>
      </c>
      <c r="I14" s="18" t="n">
        <f aca="false">I13*I12</f>
        <v>1932150</v>
      </c>
    </row>
    <row r="15" customFormat="false" ht="12.75" hidden="false" customHeight="false" outlineLevel="0" collapsed="false">
      <c r="A15" s="41"/>
      <c r="B15" s="42"/>
      <c r="C15" s="34" t="s">
        <v>60</v>
      </c>
      <c r="D15" s="35" t="s">
        <v>61</v>
      </c>
      <c r="E15" s="36" t="n">
        <v>62339</v>
      </c>
      <c r="F15" s="37"/>
      <c r="G15" s="38" t="n">
        <v>4799</v>
      </c>
      <c r="H15" s="50" t="s">
        <v>62</v>
      </c>
      <c r="I15" s="18" t="n">
        <f aca="false">'Planning Global Futura'!L47</f>
        <v>0</v>
      </c>
    </row>
    <row r="16" customFormat="false" ht="12.75" hidden="false" customHeight="false" outlineLevel="0" collapsed="false">
      <c r="A16" s="41"/>
      <c r="B16" s="42"/>
      <c r="C16" s="34" t="s">
        <v>63</v>
      </c>
      <c r="D16" s="35" t="s">
        <v>64</v>
      </c>
      <c r="E16" s="36" t="n">
        <v>305338</v>
      </c>
      <c r="F16" s="37"/>
      <c r="G16" s="38" t="n">
        <v>76872</v>
      </c>
    </row>
    <row r="17" customFormat="false" ht="12.75" hidden="false" customHeight="false" outlineLevel="0" collapsed="false">
      <c r="A17" s="41"/>
      <c r="B17" s="42"/>
      <c r="C17" s="34" t="s">
        <v>65</v>
      </c>
      <c r="D17" s="35" t="s">
        <v>66</v>
      </c>
      <c r="E17" s="36" t="n">
        <v>36457</v>
      </c>
      <c r="F17" s="37"/>
      <c r="G17" s="38" t="n">
        <v>11080</v>
      </c>
    </row>
    <row r="18" customFormat="false" ht="12.75" hidden="false" customHeight="false" outlineLevel="0" collapsed="false">
      <c r="A18" s="41"/>
      <c r="B18" s="42"/>
      <c r="C18" s="34" t="s">
        <v>67</v>
      </c>
      <c r="D18" s="35" t="s">
        <v>55</v>
      </c>
      <c r="E18" s="36" t="n">
        <v>212546</v>
      </c>
      <c r="F18" s="37"/>
      <c r="G18" s="38" t="n">
        <v>106759</v>
      </c>
    </row>
    <row r="19" customFormat="false" ht="12.75" hidden="false" customHeight="false" outlineLevel="0" collapsed="false">
      <c r="A19" s="41"/>
      <c r="B19" s="42"/>
      <c r="C19" s="34" t="s">
        <v>68</v>
      </c>
      <c r="D19" s="35" t="s">
        <v>69</v>
      </c>
      <c r="E19" s="36" t="n">
        <v>28128</v>
      </c>
      <c r="F19" s="37"/>
      <c r="G19" s="38" t="n">
        <v>13227</v>
      </c>
    </row>
    <row r="20" customFormat="false" ht="12.75" hidden="false" customHeight="false" outlineLevel="0" collapsed="false">
      <c r="A20" s="41"/>
      <c r="B20" s="42"/>
      <c r="C20" s="34" t="s">
        <v>70</v>
      </c>
      <c r="D20" s="35" t="s">
        <v>71</v>
      </c>
      <c r="E20" s="36" t="n">
        <v>15234</v>
      </c>
      <c r="F20" s="37"/>
      <c r="G20" s="38" t="n">
        <v>3404</v>
      </c>
    </row>
    <row r="21" customFormat="false" ht="12.75" hidden="false" customHeight="false" outlineLevel="0" collapsed="false">
      <c r="A21" s="41"/>
      <c r="B21" s="42"/>
      <c r="C21" s="34" t="s">
        <v>72</v>
      </c>
      <c r="D21" s="35" t="s">
        <v>73</v>
      </c>
      <c r="E21" s="36" t="n">
        <v>224819</v>
      </c>
      <c r="F21" s="37"/>
      <c r="G21" s="38" t="n">
        <v>74162</v>
      </c>
    </row>
    <row r="22" customFormat="false" ht="12.75" hidden="false" customHeight="false" outlineLevel="0" collapsed="false">
      <c r="A22" s="41"/>
      <c r="B22" s="42"/>
      <c r="C22" s="34" t="s">
        <v>74</v>
      </c>
      <c r="D22" s="35" t="s">
        <v>75</v>
      </c>
      <c r="E22" s="36" t="n">
        <v>25502</v>
      </c>
      <c r="F22" s="37"/>
      <c r="G22" s="38" t="n">
        <v>3384</v>
      </c>
    </row>
    <row r="23" customFormat="false" ht="12.75" hidden="false" customHeight="false" outlineLevel="0" collapsed="false">
      <c r="A23" s="41"/>
      <c r="B23" s="42"/>
      <c r="C23" s="34" t="s">
        <v>76</v>
      </c>
      <c r="D23" s="35" t="s">
        <v>77</v>
      </c>
      <c r="E23" s="36" t="n">
        <v>120355</v>
      </c>
      <c r="F23" s="37"/>
      <c r="G23" s="38" t="n">
        <v>28656</v>
      </c>
    </row>
    <row r="24" customFormat="false" ht="12.75" hidden="false" customHeight="false" outlineLevel="0" collapsed="false">
      <c r="A24" s="41"/>
      <c r="B24" s="42"/>
      <c r="C24" s="34" t="s">
        <v>78</v>
      </c>
      <c r="D24" s="35" t="s">
        <v>79</v>
      </c>
      <c r="E24" s="36" t="n">
        <v>161360</v>
      </c>
      <c r="F24" s="37"/>
      <c r="G24" s="38" t="n">
        <v>20554</v>
      </c>
    </row>
    <row r="25" customFormat="false" ht="12.75" hidden="false" customHeight="false" outlineLevel="0" collapsed="false">
      <c r="A25" s="41"/>
      <c r="B25" s="42"/>
      <c r="C25" s="34" t="s">
        <v>80</v>
      </c>
      <c r="D25" s="35" t="s">
        <v>81</v>
      </c>
      <c r="E25" s="36" t="n">
        <v>121494</v>
      </c>
      <c r="F25" s="37"/>
      <c r="G25" s="38" t="n">
        <v>5625</v>
      </c>
    </row>
    <row r="26" customFormat="false" ht="12.75" hidden="false" customHeight="false" outlineLevel="0" collapsed="false">
      <c r="A26" s="41"/>
      <c r="B26" s="42"/>
      <c r="C26" s="34" t="s">
        <v>82</v>
      </c>
      <c r="D26" s="35" t="s">
        <v>66</v>
      </c>
      <c r="E26" s="36" t="n">
        <v>11503</v>
      </c>
      <c r="F26" s="37"/>
      <c r="G26" s="38" t="n">
        <v>6426</v>
      </c>
    </row>
    <row r="27" customFormat="false" ht="12.75" hidden="false" customHeight="false" outlineLevel="0" collapsed="false">
      <c r="A27" s="41"/>
      <c r="B27" s="42"/>
      <c r="C27" s="34" t="s">
        <v>83</v>
      </c>
      <c r="D27" s="35" t="s">
        <v>84</v>
      </c>
      <c r="E27" s="36" t="n">
        <v>72927</v>
      </c>
      <c r="F27" s="37"/>
      <c r="G27" s="38" t="n">
        <v>7320</v>
      </c>
    </row>
    <row r="28" customFormat="false" ht="12.75" hidden="false" customHeight="false" outlineLevel="0" collapsed="false">
      <c r="A28" s="41"/>
      <c r="B28" s="51"/>
      <c r="C28" s="34" t="s">
        <v>85</v>
      </c>
      <c r="D28" s="35" t="s">
        <v>86</v>
      </c>
      <c r="E28" s="36" t="n">
        <v>89246</v>
      </c>
      <c r="F28" s="37"/>
      <c r="G28" s="38" t="n">
        <v>17885</v>
      </c>
    </row>
    <row r="29" customFormat="false" ht="12.75" hidden="false" customHeight="false" outlineLevel="0" collapsed="false">
      <c r="A29" s="52"/>
      <c r="B29" s="53" t="s">
        <v>87</v>
      </c>
      <c r="C29" s="54"/>
      <c r="D29" s="55"/>
      <c r="E29" s="56" t="n">
        <v>2150506</v>
      </c>
      <c r="F29" s="57"/>
      <c r="G29" s="58" t="n">
        <v>718059</v>
      </c>
    </row>
    <row r="30" customFormat="false" ht="12.75" hidden="false" customHeight="false" outlineLevel="0" collapsed="false">
      <c r="A30" s="59" t="s">
        <v>88</v>
      </c>
      <c r="B30" s="60"/>
      <c r="C30" s="60"/>
      <c r="D30" s="61"/>
      <c r="E30" s="62" t="n">
        <v>2150506</v>
      </c>
      <c r="F30" s="63"/>
      <c r="G30" s="64" t="n">
        <v>718059</v>
      </c>
    </row>
    <row r="52" customFormat="false" ht="12.75" hidden="false" customHeight="false" outlineLevel="0" collapsed="false">
      <c r="H52" s="22" t="n">
        <f aca="false">GETPIVOTDATA("Total Hrs allouées",$A$3)</f>
        <v>0</v>
      </c>
    </row>
  </sheetData>
  <mergeCells count="1">
    <mergeCell ref="H3:I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B139"/>
  <sheetViews>
    <sheetView showFormulas="false" showGridLines="true" showRowColHeaders="true" showZeros="true" rightToLeft="false" tabSelected="true" showOutlineSymbols="true" defaultGridColor="true" view="normal" topLeftCell="D1" colorId="64" zoomScale="75" zoomScaleNormal="75" zoomScalePageLayoutView="100" workbookViewId="0">
      <selection pane="topLeft" activeCell="A7" activeCellId="0" sqref="A7"/>
    </sheetView>
  </sheetViews>
  <sheetFormatPr defaultColWidth="9.1484375" defaultRowHeight="12.75" customHeight="false" zeroHeight="false" outlineLevelRow="0" outlineLevelCol="1"/>
  <cols>
    <col collapsed="false" customWidth="true" hidden="false" outlineLevel="0" max="1" min="1" style="65" width="7"/>
    <col collapsed="false" customWidth="true" hidden="true" outlineLevel="1" max="2" min="2" style="66" width="3.71"/>
    <col collapsed="false" customWidth="true" hidden="false" outlineLevel="1" max="3" min="3" style="66" width="16.57"/>
    <col collapsed="false" customWidth="true" hidden="false" outlineLevel="1" max="4" min="4" style="65" width="12.15"/>
    <col collapsed="false" customWidth="true" hidden="false" outlineLevel="1" max="5" min="5" style="65" width="9.71"/>
    <col collapsed="false" customWidth="true" hidden="false" outlineLevel="1" max="6" min="6" style="65" width="4.57"/>
    <col collapsed="false" customWidth="true" hidden="false" outlineLevel="0" max="7" min="7" style="65" width="8.15"/>
    <col collapsed="false" customWidth="true" hidden="false" outlineLevel="0" max="8" min="8" style="65" width="17.71"/>
    <col collapsed="false" customWidth="true" hidden="false" outlineLevel="0" max="9" min="9" style="65" width="9"/>
    <col collapsed="false" customWidth="true" hidden="false" outlineLevel="0" max="10" min="10" style="65" width="10.57"/>
    <col collapsed="false" customWidth="true" hidden="false" outlineLevel="0" max="11" min="11" style="65" width="34.42"/>
    <col collapsed="false" customWidth="true" hidden="false" outlineLevel="0" max="12" min="12" style="65" width="12.71"/>
    <col collapsed="false" customWidth="true" hidden="false" outlineLevel="0" max="13" min="13" style="65" width="9.29"/>
    <col collapsed="false" customWidth="true" hidden="false" outlineLevel="0" max="14" min="14" style="65" width="22.71"/>
    <col collapsed="false" customWidth="true" hidden="false" outlineLevel="0" max="16" min="15" style="67" width="9.29"/>
    <col collapsed="false" customWidth="true" hidden="false" outlineLevel="0" max="17" min="17" style="66" width="9.42"/>
    <col collapsed="false" customWidth="true" hidden="false" outlineLevel="0" max="18" min="18" style="66" width="9.86"/>
    <col collapsed="false" customWidth="true" hidden="false" outlineLevel="0" max="19" min="19" style="66" width="9.42"/>
    <col collapsed="false" customWidth="true" hidden="false" outlineLevel="0" max="20" min="20" style="66" width="9.86"/>
    <col collapsed="false" customWidth="true" hidden="false" outlineLevel="0" max="21" min="21" style="65" width="9.86"/>
    <col collapsed="false" customWidth="true" hidden="false" outlineLevel="0" max="23" min="22" style="65" width="9.29"/>
    <col collapsed="false" customWidth="true" hidden="true" outlineLevel="0" max="25" min="24" style="65" width="8.71"/>
    <col collapsed="false" customWidth="true" hidden="false" outlineLevel="0" max="26" min="26" style="68" width="8.15"/>
    <col collapsed="false" customWidth="false" hidden="false" outlineLevel="0" max="27" min="27" style="65" width="9.14"/>
    <col collapsed="false" customWidth="true" hidden="false" outlineLevel="0" max="28" min="28" style="65" width="10.85"/>
    <col collapsed="false" customWidth="false" hidden="false" outlineLevel="0" max="29" min="29" style="65" width="9.14"/>
    <col collapsed="false" customWidth="true" hidden="false" outlineLevel="0" max="30" min="30" style="65" width="10.29"/>
    <col collapsed="false" customWidth="false" hidden="false" outlineLevel="0" max="16384" min="31" style="65" width="9.14"/>
  </cols>
  <sheetData>
    <row r="1" customFormat="false" ht="12.75" hidden="false" customHeight="true" outlineLevel="0" collapsed="false">
      <c r="A1" s="69" t="s">
        <v>89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</row>
    <row r="2" customFormat="false" ht="12.75" hidden="false" customHeight="true" outlineLevel="0" collapsed="false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</row>
    <row r="4" customFormat="false" ht="22.05" hidden="false" customHeight="false" outlineLevel="0" collapsed="false">
      <c r="G4" s="70"/>
      <c r="H4" s="71"/>
      <c r="I4" s="72"/>
      <c r="J4" s="73"/>
      <c r="K4" s="73"/>
      <c r="L4" s="73"/>
      <c r="M4" s="73"/>
      <c r="N4" s="74"/>
      <c r="O4" s="75" t="s">
        <v>90</v>
      </c>
      <c r="P4" s="75"/>
      <c r="Q4" s="76" t="s">
        <v>91</v>
      </c>
      <c r="R4" s="76"/>
      <c r="S4" s="76"/>
      <c r="T4" s="76"/>
      <c r="U4" s="76"/>
      <c r="V4" s="77"/>
      <c r="W4" s="78"/>
      <c r="X4" s="79"/>
      <c r="Y4" s="80"/>
      <c r="Z4" s="80" t="s">
        <v>92</v>
      </c>
      <c r="AA4" s="78"/>
      <c r="AB4" s="81"/>
    </row>
    <row r="5" customFormat="false" ht="69.85" hidden="false" customHeight="false" outlineLevel="0" collapsed="false">
      <c r="A5" s="82" t="s">
        <v>27</v>
      </c>
      <c r="B5" s="83" t="s">
        <v>1</v>
      </c>
      <c r="C5" s="83" t="s">
        <v>93</v>
      </c>
      <c r="D5" s="83" t="s">
        <v>28</v>
      </c>
      <c r="E5" s="84" t="s">
        <v>94</v>
      </c>
      <c r="F5" s="84" t="s">
        <v>95</v>
      </c>
      <c r="G5" s="85" t="s">
        <v>25</v>
      </c>
      <c r="H5" s="86" t="s">
        <v>96</v>
      </c>
      <c r="I5" s="87" t="s">
        <v>97</v>
      </c>
      <c r="J5" s="87" t="s">
        <v>29</v>
      </c>
      <c r="K5" s="88" t="s">
        <v>30</v>
      </c>
      <c r="L5" s="87" t="s">
        <v>98</v>
      </c>
      <c r="M5" s="89" t="s">
        <v>99</v>
      </c>
      <c r="N5" s="90" t="s">
        <v>100</v>
      </c>
      <c r="O5" s="91" t="s">
        <v>101</v>
      </c>
      <c r="P5" s="92" t="s">
        <v>102</v>
      </c>
      <c r="Q5" s="93" t="s">
        <v>103</v>
      </c>
      <c r="R5" s="86" t="s">
        <v>104</v>
      </c>
      <c r="S5" s="86" t="s">
        <v>105</v>
      </c>
      <c r="T5" s="94" t="s">
        <v>106</v>
      </c>
      <c r="U5" s="95" t="s">
        <v>107</v>
      </c>
      <c r="V5" s="96" t="s">
        <v>108</v>
      </c>
      <c r="W5" s="97" t="s">
        <v>109</v>
      </c>
      <c r="X5" s="97" t="s">
        <v>110</v>
      </c>
      <c r="Y5" s="97" t="s">
        <v>111</v>
      </c>
      <c r="Z5" s="97" t="s">
        <v>112</v>
      </c>
      <c r="AA5" s="97" t="s">
        <v>113</v>
      </c>
      <c r="AB5" s="98" t="s">
        <v>114</v>
      </c>
    </row>
    <row r="6" customFormat="false" ht="12.75" hidden="false" customHeight="false" outlineLevel="0" collapsed="false">
      <c r="A6" s="99"/>
      <c r="B6" s="100" t="str">
        <f aca="false">IF(A6="","",VLOOKUP(A6,Equipe!A:B,2,FALSE()))</f>
        <v/>
      </c>
      <c r="C6" s="100" t="str">
        <f aca="false">IF(B6="","",VLOOKUP(A6,Equipe!A:C,3,FALSE()))</f>
        <v/>
      </c>
      <c r="D6" s="101"/>
      <c r="E6" s="102" t="e">
        <f aca="false">VLOOKUP(H6,Equipe!D:F,3,FALSE())</f>
        <v>#N/A</v>
      </c>
      <c r="F6" s="103" t="e">
        <f aca="false">CONCATENATE(H6," - ",E6," hrs")</f>
        <v>#N/A</v>
      </c>
      <c r="G6" s="104"/>
      <c r="H6" s="14"/>
      <c r="I6" s="101"/>
      <c r="J6" s="14" t="s">
        <v>115</v>
      </c>
      <c r="K6" s="14" t="s">
        <v>116</v>
      </c>
      <c r="L6" s="105" t="n">
        <v>130197</v>
      </c>
      <c r="M6" s="105" t="n">
        <v>22280</v>
      </c>
      <c r="N6" s="14" t="s">
        <v>117</v>
      </c>
      <c r="O6" s="106" t="n">
        <v>166.61</v>
      </c>
      <c r="P6" s="107"/>
      <c r="Q6" s="108" t="n">
        <f aca="false">+O6</f>
        <v>166.61</v>
      </c>
      <c r="R6" s="109" t="n">
        <f aca="false">IF(Q6&gt;0,M6/Q6,0)</f>
        <v>133.725466658664</v>
      </c>
      <c r="S6" s="110" t="n">
        <f aca="false">+P6</f>
        <v>0</v>
      </c>
      <c r="T6" s="111" t="n">
        <f aca="false">IF(S6&gt;0,M6/S6,0)</f>
        <v>0</v>
      </c>
      <c r="U6" s="112"/>
      <c r="V6" s="113"/>
      <c r="W6" s="114"/>
      <c r="X6" s="115"/>
      <c r="Y6" s="115"/>
      <c r="Z6" s="116" t="n">
        <f aca="false">IF(ISBLANK(Q6),"",IF(Q6&gt;0,(M6-V6)/Q6,0))</f>
        <v>133.725466658664</v>
      </c>
      <c r="AA6" s="116" t="n">
        <f aca="false">IF(ISBLANK(S6),"",IF(W6&gt;0,(M6-W6)/S6,0))</f>
        <v>0</v>
      </c>
      <c r="AB6" s="117" t="n">
        <f aca="false">IF(S6&gt;0,IF(U6&gt;0,1-(Z6/U6),IF(U6&lt;&gt;0,1-(Z6+AA6)/U6)),0)</f>
        <v>0</v>
      </c>
    </row>
    <row r="7" customFormat="false" ht="12.75" hidden="false" customHeight="false" outlineLevel="0" collapsed="false">
      <c r="A7" s="99"/>
      <c r="B7" s="100" t="str">
        <f aca="false">IF(A7="","",VLOOKUP(A7,Equipe!A:B,2,FALSE()))</f>
        <v/>
      </c>
      <c r="C7" s="100" t="str">
        <f aca="false">IF(B7="","",VLOOKUP(A7,Equipe!A:C,3,FALSE()))</f>
        <v/>
      </c>
      <c r="D7" s="101"/>
      <c r="E7" s="102" t="e">
        <f aca="false">VLOOKUP(H7,Equipe!D:F,3,FALSE())</f>
        <v>#N/A</v>
      </c>
      <c r="F7" s="103" t="e">
        <f aca="false">CONCATENATE(H7," - ",E7," hrs")</f>
        <v>#N/A</v>
      </c>
      <c r="G7" s="104"/>
      <c r="H7" s="14"/>
      <c r="I7" s="101"/>
      <c r="J7" s="14" t="s">
        <v>118</v>
      </c>
      <c r="K7" s="14" t="s">
        <v>119</v>
      </c>
      <c r="L7" s="105" t="n">
        <v>38895</v>
      </c>
      <c r="M7" s="105" t="n">
        <v>35504</v>
      </c>
      <c r="N7" s="14" t="s">
        <v>117</v>
      </c>
      <c r="O7" s="106" t="n">
        <v>204.72</v>
      </c>
      <c r="P7" s="118"/>
      <c r="Q7" s="108" t="n">
        <v>360</v>
      </c>
      <c r="R7" s="109" t="n">
        <f aca="false">IF(Q7&gt;0,M7/Q7,0)</f>
        <v>98.6222222222222</v>
      </c>
      <c r="S7" s="110" t="n">
        <f aca="false">+P7</f>
        <v>0</v>
      </c>
      <c r="T7" s="111" t="n">
        <f aca="false">IF(S7&gt;0,M7/S7,0)</f>
        <v>0</v>
      </c>
      <c r="U7" s="112"/>
      <c r="V7" s="113"/>
      <c r="W7" s="114"/>
      <c r="X7" s="115"/>
      <c r="Y7" s="115"/>
      <c r="Z7" s="116" t="n">
        <f aca="false">IF(ISBLANK(Q7),"",IF(Q7&gt;0,(M7-V7)/Q7,0))</f>
        <v>98.6222222222222</v>
      </c>
      <c r="AA7" s="116" t="n">
        <f aca="false">IF(ISBLANK(S7),"",IF(W7&gt;0,(M7-W7)/S7,0))</f>
        <v>0</v>
      </c>
      <c r="AB7" s="117" t="n">
        <f aca="false">IF(S7&gt;0,IF(U7&gt;0,1-(Z7/U7),IF(U7&lt;&gt;0,1-(Z7+AA7)/U7)),0)</f>
        <v>0</v>
      </c>
    </row>
    <row r="8" customFormat="false" ht="12.75" hidden="false" customHeight="false" outlineLevel="0" collapsed="false">
      <c r="A8" s="99"/>
      <c r="B8" s="100" t="str">
        <f aca="false">IF(A8="","",VLOOKUP(A8,Equipe!A:B,2,FALSE()))</f>
        <v/>
      </c>
      <c r="C8" s="100" t="str">
        <f aca="false">IF(B8="","",VLOOKUP(A8,Equipe!A:C,3,FALSE()))</f>
        <v/>
      </c>
      <c r="D8" s="101"/>
      <c r="E8" s="102" t="e">
        <f aca="false">VLOOKUP(H8,Equipe!D:F,3,FALSE())</f>
        <v>#N/A</v>
      </c>
      <c r="F8" s="103" t="e">
        <f aca="false">CONCATENATE(H8," - ",E8," hrs")</f>
        <v>#N/A</v>
      </c>
      <c r="G8" s="104"/>
      <c r="H8" s="14"/>
      <c r="I8" s="101"/>
      <c r="J8" s="14" t="s">
        <v>120</v>
      </c>
      <c r="K8" s="14"/>
      <c r="L8" s="105" t="n">
        <v>92508</v>
      </c>
      <c r="M8" s="105" t="n">
        <v>28127</v>
      </c>
      <c r="N8" s="14" t="s">
        <v>117</v>
      </c>
      <c r="O8" s="106" t="n">
        <v>0</v>
      </c>
      <c r="P8" s="118"/>
      <c r="Q8" s="108" t="n">
        <f aca="false">+O8</f>
        <v>0</v>
      </c>
      <c r="R8" s="109" t="n">
        <f aca="false">IF(Q8&gt;0,M8/Q8,0)</f>
        <v>0</v>
      </c>
      <c r="S8" s="110" t="n">
        <f aca="false">+P8</f>
        <v>0</v>
      </c>
      <c r="T8" s="111" t="n">
        <f aca="false">IF(S8&gt;0,M8/S8,0)</f>
        <v>0</v>
      </c>
      <c r="U8" s="112"/>
      <c r="V8" s="113"/>
      <c r="W8" s="114"/>
      <c r="X8" s="115"/>
      <c r="Y8" s="115"/>
      <c r="Z8" s="116" t="n">
        <f aca="false">IF(ISBLANK(Q8),"",IF(Q8&gt;0,(M8-V8)/Q8,0))</f>
        <v>0</v>
      </c>
      <c r="AA8" s="116" t="n">
        <f aca="false">IF(ISBLANK(S8),"",IF(W8&gt;0,(M8-W8)/S8,0))</f>
        <v>0</v>
      </c>
      <c r="AB8" s="117" t="n">
        <f aca="false">IF(S8&gt;0,IF(U8&gt;0,1-(Z8/U8),IF(U8&lt;&gt;0,1-(Z8+AA8)/U8)),0)</f>
        <v>0</v>
      </c>
    </row>
    <row r="9" customFormat="false" ht="12.75" hidden="false" customHeight="false" outlineLevel="0" collapsed="false">
      <c r="A9" s="99"/>
      <c r="B9" s="100" t="str">
        <f aca="false">IF(A9="","",VLOOKUP(A9,Equipe!A:B,2,FALSE()))</f>
        <v/>
      </c>
      <c r="C9" s="100" t="str">
        <f aca="false">IF(B9="","",VLOOKUP(A9,Equipe!A:C,3,FALSE()))</f>
        <v/>
      </c>
      <c r="D9" s="101"/>
      <c r="E9" s="102" t="e">
        <f aca="false">VLOOKUP(H9,Equipe!D:F,3,FALSE())</f>
        <v>#N/A</v>
      </c>
      <c r="F9" s="103" t="e">
        <f aca="false">CONCATENATE(H9," - ",E9," hrs")</f>
        <v>#N/A</v>
      </c>
      <c r="G9" s="104"/>
      <c r="H9" s="119"/>
      <c r="I9" s="101"/>
      <c r="J9" s="119" t="s">
        <v>121</v>
      </c>
      <c r="K9" s="119" t="s">
        <v>122</v>
      </c>
      <c r="L9" s="120" t="n">
        <v>68417</v>
      </c>
      <c r="M9" s="120" t="n">
        <v>3320</v>
      </c>
      <c r="N9" s="14" t="s">
        <v>117</v>
      </c>
      <c r="O9" s="121" t="n">
        <v>301.54</v>
      </c>
      <c r="P9" s="118"/>
      <c r="Q9" s="108" t="n">
        <f aca="false">+O9</f>
        <v>301.54</v>
      </c>
      <c r="R9" s="109" t="n">
        <f aca="false">IF(Q9&gt;0,M9/Q9,0)</f>
        <v>11.0101479074086</v>
      </c>
      <c r="S9" s="110" t="n">
        <f aca="false">+P9</f>
        <v>0</v>
      </c>
      <c r="T9" s="111" t="n">
        <f aca="false">IF(S9&gt;0,M9/S9,0)</f>
        <v>0</v>
      </c>
      <c r="U9" s="112"/>
      <c r="V9" s="113"/>
      <c r="W9" s="114"/>
      <c r="X9" s="115"/>
      <c r="Y9" s="115"/>
      <c r="Z9" s="116" t="n">
        <f aca="false">IF(ISBLANK(Q9),"",IF(Q9&gt;0,(M9-V9)/Q9,0))</f>
        <v>11.0101479074086</v>
      </c>
      <c r="AA9" s="116" t="n">
        <f aca="false">IF(ISBLANK(S9),"",IF(W9&gt;0,(M9-W9)/S9,0))</f>
        <v>0</v>
      </c>
      <c r="AB9" s="117" t="n">
        <f aca="false">IF(S9&gt;0,IF(U9&gt;0,1-(Z9/U9),IF(U9&lt;&gt;0,1-(Z9+AA9)/U9)),0)</f>
        <v>0</v>
      </c>
    </row>
    <row r="10" customFormat="false" ht="12.75" hidden="false" customHeight="false" outlineLevel="0" collapsed="false">
      <c r="A10" s="99"/>
      <c r="B10" s="100" t="str">
        <f aca="false">IF(A10="","",VLOOKUP(A10,Equipe!A:B,2,FALSE()))</f>
        <v/>
      </c>
      <c r="C10" s="100" t="str">
        <f aca="false">IF(B10="","",VLOOKUP(A10,Equipe!A:C,3,FALSE()))</f>
        <v/>
      </c>
      <c r="D10" s="101"/>
      <c r="E10" s="102" t="e">
        <f aca="false">VLOOKUP(H10,Equipe!D:F,3,FALSE())</f>
        <v>#N/A</v>
      </c>
      <c r="F10" s="103" t="e">
        <f aca="false">CONCATENATE(H10," - ",E10," hrs")</f>
        <v>#N/A</v>
      </c>
      <c r="G10" s="104"/>
      <c r="H10" s="119"/>
      <c r="I10" s="101"/>
      <c r="J10" s="119" t="s">
        <v>123</v>
      </c>
      <c r="K10" s="119" t="s">
        <v>124</v>
      </c>
      <c r="L10" s="120" t="n">
        <v>57203</v>
      </c>
      <c r="M10" s="120" t="n">
        <v>36700</v>
      </c>
      <c r="N10" s="14" t="s">
        <v>117</v>
      </c>
      <c r="O10" s="121" t="n">
        <v>313.28</v>
      </c>
      <c r="P10" s="118"/>
      <c r="Q10" s="108" t="n">
        <f aca="false">+O10</f>
        <v>313.28</v>
      </c>
      <c r="R10" s="109" t="n">
        <f aca="false">IF(Q10&gt;0,M10/Q10,0)</f>
        <v>117.14759959142</v>
      </c>
      <c r="S10" s="110" t="n">
        <f aca="false">+P10</f>
        <v>0</v>
      </c>
      <c r="T10" s="111" t="n">
        <f aca="false">IF(S10&gt;0,M10/S10,0)</f>
        <v>0</v>
      </c>
      <c r="U10" s="112"/>
      <c r="V10" s="113"/>
      <c r="W10" s="114"/>
      <c r="X10" s="115"/>
      <c r="Y10" s="115"/>
      <c r="Z10" s="116" t="n">
        <f aca="false">IF(ISBLANK(Q10),"",IF(Q10&gt;0,(M10-V10)/Q10,0))</f>
        <v>117.14759959142</v>
      </c>
      <c r="AA10" s="116" t="n">
        <f aca="false">IF(ISBLANK(S10),"",IF(W10&gt;0,(M10-W10)/S10,0))</f>
        <v>0</v>
      </c>
      <c r="AB10" s="117" t="n">
        <f aca="false">IF(S10&gt;0,IF(U10&gt;0,1-(Z10/U10),IF(U10&lt;&gt;0,1-(Z10+AA10)/U10)),0)</f>
        <v>0</v>
      </c>
    </row>
    <row r="11" customFormat="false" ht="12.75" hidden="false" customHeight="false" outlineLevel="0" collapsed="false">
      <c r="A11" s="99"/>
      <c r="B11" s="100" t="str">
        <f aca="false">IF(A11="","",VLOOKUP(A11,Equipe!A:B,2,FALSE()))</f>
        <v/>
      </c>
      <c r="C11" s="100" t="str">
        <f aca="false">IF(B11="","",VLOOKUP(A11,Equipe!A:C,3,FALSE()))</f>
        <v/>
      </c>
      <c r="D11" s="13" t="str">
        <f aca="false">IF(A11="","",CONCATENATE(B11,"-",C11,"hrs"))</f>
        <v/>
      </c>
      <c r="E11" s="102" t="e">
        <f aca="false">VLOOKUP(H11,Equipe!D:F,3,FALSE())</f>
        <v>#N/A</v>
      </c>
      <c r="F11" s="103" t="e">
        <f aca="false">CONCATENATE(H11," - ",E11," hrs")</f>
        <v>#N/A</v>
      </c>
      <c r="G11" s="122"/>
      <c r="H11" s="14"/>
      <c r="I11" s="123"/>
      <c r="J11" s="14" t="s">
        <v>47</v>
      </c>
      <c r="K11" s="14" t="s">
        <v>48</v>
      </c>
      <c r="L11" s="105" t="n">
        <v>31500</v>
      </c>
      <c r="M11" s="105" t="n">
        <v>9000</v>
      </c>
      <c r="N11" s="14" t="s">
        <v>125</v>
      </c>
      <c r="O11" s="106" t="n">
        <v>140.78</v>
      </c>
      <c r="P11" s="124"/>
      <c r="Q11" s="108" t="n">
        <v>250</v>
      </c>
      <c r="R11" s="109" t="n">
        <f aca="false">IF(Q11&gt;0,M11/Q11,0)</f>
        <v>36</v>
      </c>
      <c r="S11" s="110" t="n">
        <f aca="false">+P11</f>
        <v>0</v>
      </c>
      <c r="T11" s="111" t="n">
        <f aca="false">IF(S11&gt;0,M11/S11,0)</f>
        <v>0</v>
      </c>
      <c r="U11" s="125"/>
      <c r="V11" s="113"/>
      <c r="W11" s="114"/>
      <c r="X11" s="115"/>
      <c r="Y11" s="115"/>
      <c r="Z11" s="116" t="n">
        <f aca="false">IF(ISBLANK(Q11),"",IF(Q11&gt;0,(M11-V11)/Q11,0))</f>
        <v>36</v>
      </c>
      <c r="AA11" s="116" t="n">
        <f aca="false">IF(ISBLANK(S11),"",IF(W11&gt;0,(M11-W11)/S11,0))</f>
        <v>0</v>
      </c>
      <c r="AB11" s="117" t="n">
        <f aca="false">IF(S11&gt;0,IF(U11&gt;0,1-(Z11/U11),IF(U11&lt;&gt;0,1-(Z11+AA11)/U11)),0)</f>
        <v>0</v>
      </c>
    </row>
    <row r="12" customFormat="false" ht="12.75" hidden="false" customHeight="false" outlineLevel="0" collapsed="false">
      <c r="A12" s="99"/>
      <c r="B12" s="100" t="str">
        <f aca="false">IF(A12="","",VLOOKUP(A12,Equipe!A:B,2,FALSE()))</f>
        <v/>
      </c>
      <c r="C12" s="100" t="str">
        <f aca="false">IF(B12="","",VLOOKUP(A12,Equipe!A:C,3,FALSE()))</f>
        <v/>
      </c>
      <c r="D12" s="13" t="str">
        <f aca="false">IF(A12="","",CONCATENATE(B12,"-",C12,"hrs"))</f>
        <v/>
      </c>
      <c r="E12" s="102" t="e">
        <f aca="false">VLOOKUP(H12,Equipe!D:F,3,FALSE())</f>
        <v>#N/A</v>
      </c>
      <c r="F12" s="103" t="e">
        <f aca="false">CONCATENATE(H12," - ",E12," hrs")</f>
        <v>#N/A</v>
      </c>
      <c r="G12" s="122"/>
      <c r="H12" s="14"/>
      <c r="I12" s="123"/>
      <c r="J12" s="14" t="s">
        <v>85</v>
      </c>
      <c r="K12" s="14" t="s">
        <v>86</v>
      </c>
      <c r="L12" s="105" t="n">
        <v>89246</v>
      </c>
      <c r="M12" s="105" t="n">
        <v>17885</v>
      </c>
      <c r="N12" s="14" t="s">
        <v>125</v>
      </c>
      <c r="O12" s="106" t="n">
        <v>205.27</v>
      </c>
      <c r="P12" s="124"/>
      <c r="Q12" s="108" t="n">
        <f aca="false">+O12</f>
        <v>205.27</v>
      </c>
      <c r="R12" s="109" t="n">
        <f aca="false">IF(Q12&gt;0,M12/Q12,0)</f>
        <v>87.129146977152</v>
      </c>
      <c r="S12" s="110" t="n">
        <f aca="false">+P12</f>
        <v>0</v>
      </c>
      <c r="T12" s="111" t="n">
        <f aca="false">IF(S12&gt;0,M12/S12,0)</f>
        <v>0</v>
      </c>
      <c r="U12" s="125"/>
      <c r="V12" s="113"/>
      <c r="W12" s="114"/>
      <c r="X12" s="115"/>
      <c r="Y12" s="115"/>
      <c r="Z12" s="116" t="n">
        <f aca="false">IF(ISBLANK(Q12),"",IF(Q12&gt;0,(M12-V12)/Q12,0))</f>
        <v>87.129146977152</v>
      </c>
      <c r="AA12" s="116" t="n">
        <f aca="false">IF(ISBLANK(S12),"",IF(W12&gt;0,(M12-W12)/S12,0))</f>
        <v>0</v>
      </c>
      <c r="AB12" s="117" t="n">
        <f aca="false">IF(S12&gt;0,IF(U12&gt;0,1-(Z12/U12),IF(U12&lt;&gt;0,1-(Z12+AA12)/U12)),0)</f>
        <v>0</v>
      </c>
    </row>
    <row r="13" customFormat="false" ht="12.75" hidden="false" customHeight="false" outlineLevel="0" collapsed="false">
      <c r="A13" s="99"/>
      <c r="B13" s="100" t="str">
        <f aca="false">IF(A13="","",VLOOKUP(A13,Equipe!A:B,2,FALSE()))</f>
        <v/>
      </c>
      <c r="C13" s="100" t="str">
        <f aca="false">IF(B13="","",VLOOKUP(A13,Equipe!A:C,3,FALSE()))</f>
        <v/>
      </c>
      <c r="D13" s="13" t="str">
        <f aca="false">IF(A13="","",CONCATENATE(B13,"-",C13,"hrs"))</f>
        <v/>
      </c>
      <c r="E13" s="102" t="e">
        <f aca="false">VLOOKUP(H13,Equipe!D:F,3,FALSE())</f>
        <v>#N/A</v>
      </c>
      <c r="F13" s="103" t="e">
        <f aca="false">CONCATENATE(H13," - ",E13," hrs")</f>
        <v>#N/A</v>
      </c>
      <c r="G13" s="122"/>
      <c r="H13" s="14"/>
      <c r="I13" s="123"/>
      <c r="J13" s="14" t="s">
        <v>41</v>
      </c>
      <c r="K13" s="14" t="s">
        <v>42</v>
      </c>
      <c r="L13" s="105" t="n">
        <v>49895</v>
      </c>
      <c r="M13" s="105" t="n">
        <v>17320</v>
      </c>
      <c r="N13" s="14" t="s">
        <v>125</v>
      </c>
      <c r="O13" s="106" t="n">
        <v>417.26</v>
      </c>
      <c r="P13" s="124"/>
      <c r="Q13" s="108" t="n">
        <f aca="false">+O13</f>
        <v>417.26</v>
      </c>
      <c r="R13" s="109" t="n">
        <f aca="false">IF(Q13&gt;0,M13/Q13,0)</f>
        <v>41.5088913387337</v>
      </c>
      <c r="S13" s="110" t="n">
        <f aca="false">+P13</f>
        <v>0</v>
      </c>
      <c r="T13" s="111" t="n">
        <f aca="false">IF(S13&gt;0,M13/S13,0)</f>
        <v>0</v>
      </c>
      <c r="U13" s="125"/>
      <c r="V13" s="113"/>
      <c r="W13" s="114"/>
      <c r="X13" s="115"/>
      <c r="Y13" s="115"/>
      <c r="Z13" s="116" t="n">
        <f aca="false">IF(ISBLANK(Q13),"",IF(Q13&gt;0,(M13-V13)/Q13,0))</f>
        <v>41.5088913387337</v>
      </c>
      <c r="AA13" s="116" t="n">
        <f aca="false">IF(ISBLANK(S13),"",IF(W13&gt;0,(M13-W13)/S13,0))</f>
        <v>0</v>
      </c>
      <c r="AB13" s="117" t="n">
        <f aca="false">IF(S13&gt;0,IF(U13&gt;0,1-(Z13/U13),IF(U13&lt;&gt;0,1-(Z13+AA13)/U13)),0)</f>
        <v>0</v>
      </c>
    </row>
    <row r="14" customFormat="false" ht="12.75" hidden="false" customHeight="false" outlineLevel="0" collapsed="false">
      <c r="A14" s="99"/>
      <c r="B14" s="100" t="str">
        <f aca="false">IF(A14="","",VLOOKUP(A14,Equipe!A:B,2,FALSE()))</f>
        <v/>
      </c>
      <c r="C14" s="100" t="str">
        <f aca="false">IF(B14="","",VLOOKUP(A14,Equipe!A:C,3,FALSE()))</f>
        <v/>
      </c>
      <c r="D14" s="13" t="str">
        <f aca="false">IF(A14="","",CONCATENATE(B14,"-",C14,"hrs"))</f>
        <v/>
      </c>
      <c r="E14" s="102" t="e">
        <f aca="false">VLOOKUP(H14,Equipe!D:F,3,FALSE())</f>
        <v>#N/A</v>
      </c>
      <c r="F14" s="103" t="e">
        <f aca="false">CONCATENATE(H14," - ",E14," hrs")</f>
        <v>#N/A</v>
      </c>
      <c r="G14" s="122"/>
      <c r="H14" s="14"/>
      <c r="I14" s="123"/>
      <c r="J14" s="14" t="s">
        <v>54</v>
      </c>
      <c r="K14" s="14" t="s">
        <v>55</v>
      </c>
      <c r="L14" s="105" t="n">
        <v>51659</v>
      </c>
      <c r="M14" s="105" t="n">
        <v>13656</v>
      </c>
      <c r="N14" s="14" t="s">
        <v>125</v>
      </c>
      <c r="O14" s="106" t="n">
        <v>126.23</v>
      </c>
      <c r="P14" s="124"/>
      <c r="Q14" s="108" t="n">
        <f aca="false">+O14</f>
        <v>126.23</v>
      </c>
      <c r="R14" s="109" t="n">
        <f aca="false">IF(Q14&gt;0,M14/Q14,0)</f>
        <v>108.183474609839</v>
      </c>
      <c r="S14" s="110" t="n">
        <f aca="false">+P14</f>
        <v>0</v>
      </c>
      <c r="T14" s="111" t="n">
        <f aca="false">IF(S14&gt;0,M14/S14,0)</f>
        <v>0</v>
      </c>
      <c r="U14" s="125"/>
      <c r="V14" s="113"/>
      <c r="W14" s="114"/>
      <c r="X14" s="115"/>
      <c r="Y14" s="115"/>
      <c r="Z14" s="116" t="n">
        <f aca="false">IF(ISBLANK(Q14),"",IF(Q14&gt;0,(M14-V14)/Q14,0))</f>
        <v>108.183474609839</v>
      </c>
      <c r="AA14" s="116" t="n">
        <f aca="false">IF(ISBLANK(S14),"",IF(W14&gt;0,(M14-W14)/S14,0))</f>
        <v>0</v>
      </c>
      <c r="AB14" s="117" t="n">
        <f aca="false">IF(S14&gt;0,IF(U14&gt;0,1-(Z14/U14),IF(U14&lt;&gt;0,1-(Z14+AA14)/U14)),0)</f>
        <v>0</v>
      </c>
    </row>
    <row r="15" customFormat="false" ht="12.75" hidden="false" customHeight="false" outlineLevel="0" collapsed="false">
      <c r="A15" s="99"/>
      <c r="B15" s="100" t="str">
        <f aca="false">IF(A15="","",VLOOKUP(A15,Equipe!A:B,2,FALSE()))</f>
        <v/>
      </c>
      <c r="C15" s="100" t="str">
        <f aca="false">IF(B15="","",VLOOKUP(A15,Equipe!A:C,3,FALSE()))</f>
        <v/>
      </c>
      <c r="D15" s="13" t="str">
        <f aca="false">IF(A15="","",CONCATENATE(B15,"-",C15,"hrs"))</f>
        <v/>
      </c>
      <c r="E15" s="102" t="e">
        <f aca="false">VLOOKUP(H15,Equipe!D:F,3,FALSE())</f>
        <v>#N/A</v>
      </c>
      <c r="F15" s="103" t="e">
        <f aca="false">CONCATENATE(H15," - ",E15," hrs")</f>
        <v>#N/A</v>
      </c>
      <c r="G15" s="122"/>
      <c r="H15" s="14"/>
      <c r="I15" s="123"/>
      <c r="J15" s="14" t="s">
        <v>78</v>
      </c>
      <c r="K15" s="14" t="s">
        <v>79</v>
      </c>
      <c r="L15" s="105" t="n">
        <v>161360</v>
      </c>
      <c r="M15" s="105" t="n">
        <v>20554</v>
      </c>
      <c r="N15" s="14" t="s">
        <v>125</v>
      </c>
      <c r="O15" s="106" t="n">
        <v>215.77</v>
      </c>
      <c r="P15" s="124"/>
      <c r="Q15" s="108" t="n">
        <v>300</v>
      </c>
      <c r="R15" s="109" t="n">
        <f aca="false">IF(Q15&gt;0,M15/Q15,0)</f>
        <v>68.5133333333333</v>
      </c>
      <c r="S15" s="110" t="n">
        <f aca="false">+P15</f>
        <v>0</v>
      </c>
      <c r="T15" s="111" t="n">
        <f aca="false">IF(S15&gt;0,M15/S15,0)</f>
        <v>0</v>
      </c>
      <c r="U15" s="125"/>
      <c r="V15" s="113"/>
      <c r="W15" s="114"/>
      <c r="X15" s="115"/>
      <c r="Y15" s="115"/>
      <c r="Z15" s="116" t="n">
        <f aca="false">IF(ISBLANK(Q15),"",IF(Q15&gt;0,(M15-V15)/Q15,0))</f>
        <v>68.5133333333333</v>
      </c>
      <c r="AA15" s="116" t="n">
        <f aca="false">IF(ISBLANK(S15),"",IF(W15&gt;0,(M15-W15)/S15,0))</f>
        <v>0</v>
      </c>
      <c r="AB15" s="117" t="n">
        <f aca="false">IF(S15&gt;0,IF(U15&gt;0,1-(Z15/U15),IF(U15&lt;&gt;0,1-(Z15+AA15)/U15)),0)</f>
        <v>0</v>
      </c>
    </row>
    <row r="16" customFormat="false" ht="12.75" hidden="false" customHeight="false" outlineLevel="0" collapsed="false">
      <c r="A16" s="99"/>
      <c r="B16" s="100" t="str">
        <f aca="false">IF(A16="","",VLOOKUP(A16,Equipe!A:B,2,FALSE()))</f>
        <v/>
      </c>
      <c r="C16" s="100" t="str">
        <f aca="false">IF(B16="","",VLOOKUP(A16,Equipe!A:C,3,FALSE()))</f>
        <v/>
      </c>
      <c r="D16" s="13" t="str">
        <f aca="false">IF(A16="","",CONCATENATE(B16,"-",C16,"hrs"))</f>
        <v/>
      </c>
      <c r="E16" s="102" t="e">
        <f aca="false">VLOOKUP(H16,Equipe!D:F,3,FALSE())</f>
        <v>#N/A</v>
      </c>
      <c r="F16" s="103" t="e">
        <f aca="false">CONCATENATE(H16," - ",E16," hrs")</f>
        <v>#N/A</v>
      </c>
      <c r="G16" s="122"/>
      <c r="H16" s="14"/>
      <c r="I16" s="123"/>
      <c r="J16" s="14" t="s">
        <v>76</v>
      </c>
      <c r="K16" s="14" t="s">
        <v>77</v>
      </c>
      <c r="L16" s="105" t="n">
        <v>120355</v>
      </c>
      <c r="M16" s="105" t="n">
        <v>28656</v>
      </c>
      <c r="N16" s="14" t="s">
        <v>125</v>
      </c>
      <c r="O16" s="106" t="n">
        <v>269.99</v>
      </c>
      <c r="P16" s="124"/>
      <c r="Q16" s="108" t="n">
        <v>360</v>
      </c>
      <c r="R16" s="109" t="n">
        <f aca="false">IF(Q16&gt;0,M16/Q16,0)</f>
        <v>79.6</v>
      </c>
      <c r="S16" s="110" t="n">
        <f aca="false">+P16</f>
        <v>0</v>
      </c>
      <c r="T16" s="111" t="n">
        <f aca="false">IF(S16&gt;0,M16/S16,0)</f>
        <v>0</v>
      </c>
      <c r="U16" s="125"/>
      <c r="V16" s="113"/>
      <c r="W16" s="114"/>
      <c r="X16" s="115"/>
      <c r="Y16" s="115"/>
      <c r="Z16" s="116" t="n">
        <f aca="false">IF(ISBLANK(Q16),"",IF(Q16&gt;0,(M16-V16)/Q16,0))</f>
        <v>79.6</v>
      </c>
      <c r="AA16" s="116" t="n">
        <f aca="false">IF(ISBLANK(S16),"",IF(W16&gt;0,(M16-W16)/S16,0))</f>
        <v>0</v>
      </c>
      <c r="AB16" s="117" t="n">
        <f aca="false">IF(S16&gt;0,IF(U16&gt;0,1-(Z16/U16),IF(U16&lt;&gt;0,1-(Z16+AA16)/U16)),0)</f>
        <v>0</v>
      </c>
    </row>
    <row r="17" customFormat="false" ht="12.75" hidden="false" customHeight="false" outlineLevel="0" collapsed="false">
      <c r="A17" s="99"/>
      <c r="B17" s="100" t="str">
        <f aca="false">IF(A17="","",VLOOKUP(A17,Equipe!A:B,2,FALSE()))</f>
        <v/>
      </c>
      <c r="C17" s="100" t="str">
        <f aca="false">IF(B17="","",VLOOKUP(A17,Equipe!A:C,3,FALSE()))</f>
        <v/>
      </c>
      <c r="D17" s="13" t="str">
        <f aca="false">IF(A17="","",CONCATENATE(B17,"-",C17,"hrs"))</f>
        <v/>
      </c>
      <c r="E17" s="102" t="e">
        <f aca="false">VLOOKUP(H17,Equipe!D:F,3,FALSE())</f>
        <v>#N/A</v>
      </c>
      <c r="F17" s="103" t="e">
        <f aca="false">CONCATENATE(H17," - ",E17," hrs")</f>
        <v>#N/A</v>
      </c>
      <c r="G17" s="122"/>
      <c r="H17" s="14"/>
      <c r="I17" s="123"/>
      <c r="J17" s="14" t="s">
        <v>83</v>
      </c>
      <c r="K17" s="14" t="s">
        <v>84</v>
      </c>
      <c r="L17" s="105" t="n">
        <v>72927</v>
      </c>
      <c r="M17" s="105" t="n">
        <v>7320</v>
      </c>
      <c r="N17" s="14" t="s">
        <v>125</v>
      </c>
      <c r="O17" s="106" t="n">
        <v>205.27</v>
      </c>
      <c r="P17" s="124"/>
      <c r="Q17" s="108" t="n">
        <f aca="false">+O17</f>
        <v>205.27</v>
      </c>
      <c r="R17" s="109" t="n">
        <f aca="false">IF(Q17&gt;0,M17/Q17,0)</f>
        <v>35.6603497832124</v>
      </c>
      <c r="S17" s="110" t="n">
        <f aca="false">+P17</f>
        <v>0</v>
      </c>
      <c r="T17" s="111" t="n">
        <f aca="false">IF(S17&gt;0,M17/S17,0)</f>
        <v>0</v>
      </c>
      <c r="U17" s="125"/>
      <c r="V17" s="113"/>
      <c r="W17" s="114"/>
      <c r="X17" s="115"/>
      <c r="Y17" s="115"/>
      <c r="Z17" s="116" t="n">
        <f aca="false">IF(ISBLANK(Q17),"",IF(Q17&gt;0,(M17-V17)/Q17,0))</f>
        <v>35.6603497832124</v>
      </c>
      <c r="AA17" s="116" t="n">
        <f aca="false">IF(ISBLANK(S17),"",IF(W17&gt;0,(M17-W17)/S17,0))</f>
        <v>0</v>
      </c>
      <c r="AB17" s="117" t="n">
        <f aca="false">IF(S17&gt;0,IF(U17&gt;0,1-(Z17/U17),IF(U17&lt;&gt;0,1-(Z17+AA17)/U17)),0)</f>
        <v>0</v>
      </c>
    </row>
    <row r="18" customFormat="false" ht="12.75" hidden="false" customHeight="false" outlineLevel="0" collapsed="false">
      <c r="A18" s="99"/>
      <c r="B18" s="100" t="str">
        <f aca="false">IF(A18="","",VLOOKUP(A18,Equipe!A:B,2,FALSE()))</f>
        <v/>
      </c>
      <c r="C18" s="100" t="str">
        <f aca="false">IF(B18="","",VLOOKUP(A18,Equipe!A:C,3,FALSE()))</f>
        <v/>
      </c>
      <c r="D18" s="13" t="str">
        <f aca="false">IF(A18="","",CONCATENATE(B18,"-",C18,"hrs"))</f>
        <v/>
      </c>
      <c r="E18" s="102" t="e">
        <f aca="false">VLOOKUP(H18,Equipe!D:F,3,FALSE())</f>
        <v>#N/A</v>
      </c>
      <c r="F18" s="103" t="e">
        <f aca="false">CONCATENATE(H18," - ",E18," hrs")</f>
        <v>#N/A</v>
      </c>
      <c r="G18" s="122"/>
      <c r="H18" s="14"/>
      <c r="I18" s="123"/>
      <c r="J18" s="14" t="s">
        <v>80</v>
      </c>
      <c r="K18" s="14" t="s">
        <v>81</v>
      </c>
      <c r="L18" s="105" t="n">
        <v>121494</v>
      </c>
      <c r="M18" s="105" t="n">
        <v>5625</v>
      </c>
      <c r="N18" s="14" t="s">
        <v>126</v>
      </c>
      <c r="O18" s="106" t="n">
        <v>141.88</v>
      </c>
      <c r="P18" s="124"/>
      <c r="Q18" s="108" t="n">
        <f aca="false">+O18</f>
        <v>141.88</v>
      </c>
      <c r="R18" s="109" t="n">
        <f aca="false">IF(Q18&gt;0,M18/Q18,0)</f>
        <v>39.6461798703129</v>
      </c>
      <c r="S18" s="110" t="n">
        <f aca="false">+P18</f>
        <v>0</v>
      </c>
      <c r="T18" s="111" t="n">
        <f aca="false">IF(S18&gt;0,M18/S18,0)</f>
        <v>0</v>
      </c>
      <c r="U18" s="125"/>
      <c r="V18" s="113"/>
      <c r="W18" s="114"/>
      <c r="X18" s="115"/>
      <c r="Y18" s="115"/>
      <c r="Z18" s="116" t="n">
        <f aca="false">IF(ISBLANK(Q18),"",IF(Q18&gt;0,(M18-V18)/Q18,0))</f>
        <v>39.6461798703129</v>
      </c>
      <c r="AA18" s="116" t="n">
        <f aca="false">IF(ISBLANK(S18),"",IF(W18&gt;0,(M18-W18)/S18,0))</f>
        <v>0</v>
      </c>
      <c r="AB18" s="117" t="n">
        <f aca="false">IF(S18&gt;0,IF(U18&gt;0,1-(Z18/U18),IF(U18&lt;&gt;0,1-(Z18+AA18)/U18)),0)</f>
        <v>0</v>
      </c>
    </row>
    <row r="19" customFormat="false" ht="12.75" hidden="false" customHeight="false" outlineLevel="0" collapsed="false">
      <c r="A19" s="99"/>
      <c r="B19" s="100" t="str">
        <f aca="false">IF(A19="","",VLOOKUP(A19,Equipe!A:B,2,FALSE()))</f>
        <v/>
      </c>
      <c r="C19" s="100" t="str">
        <f aca="false">IF(B19="","",VLOOKUP(A19,Equipe!A:C,3,FALSE()))</f>
        <v/>
      </c>
      <c r="D19" s="13" t="str">
        <f aca="false">IF(A19="","",CONCATENATE(B19,"-",C19,"hrs"))</f>
        <v/>
      </c>
      <c r="E19" s="102" t="e">
        <f aca="false">VLOOKUP(H19,Equipe!D:F,3,FALSE())</f>
        <v>#N/A</v>
      </c>
      <c r="F19" s="103" t="e">
        <f aca="false">CONCATENATE(H19," - ",E19," hrs")</f>
        <v>#N/A</v>
      </c>
      <c r="G19" s="122"/>
      <c r="H19" s="14" t="s">
        <v>127</v>
      </c>
      <c r="I19" s="123"/>
      <c r="J19" s="14" t="s">
        <v>57</v>
      </c>
      <c r="K19" s="14" t="s">
        <v>58</v>
      </c>
      <c r="L19" s="105" t="n">
        <v>16005</v>
      </c>
      <c r="M19" s="105" t="n">
        <v>4550</v>
      </c>
      <c r="N19" s="14" t="s">
        <v>126</v>
      </c>
      <c r="O19" s="106" t="n">
        <v>106.61</v>
      </c>
      <c r="P19" s="124"/>
      <c r="Q19" s="108" t="n">
        <f aca="false">+O19</f>
        <v>106.61</v>
      </c>
      <c r="R19" s="109" t="n">
        <f aca="false">IF(Q19&gt;0,M19/Q19,0)</f>
        <v>42.6789231779383</v>
      </c>
      <c r="S19" s="110" t="n">
        <f aca="false">+P19</f>
        <v>0</v>
      </c>
      <c r="T19" s="111" t="n">
        <f aca="false">IF(S19&gt;0,M19/S19,0)</f>
        <v>0</v>
      </c>
      <c r="U19" s="125"/>
      <c r="V19" s="113"/>
      <c r="W19" s="114"/>
      <c r="X19" s="115"/>
      <c r="Y19" s="115"/>
      <c r="Z19" s="116" t="n">
        <f aca="false">IF(ISBLANK(Q19),"",IF(Q19&gt;0,(M19-V19)/Q19,0))</f>
        <v>42.6789231779383</v>
      </c>
      <c r="AA19" s="116" t="n">
        <f aca="false">IF(ISBLANK(S19),"",IF(W19&gt;0,(M19-W19)/S19,0))</f>
        <v>0</v>
      </c>
      <c r="AB19" s="117" t="n">
        <f aca="false">IF(S19&gt;0,IF(U19&gt;0,1-(Z19/U19),IF(U19&lt;&gt;0,1-(Z19+AA19)/U19)),0)</f>
        <v>0</v>
      </c>
    </row>
    <row r="20" customFormat="false" ht="12.75" hidden="false" customHeight="false" outlineLevel="0" collapsed="false">
      <c r="A20" s="99"/>
      <c r="B20" s="100" t="str">
        <f aca="false">IF(A20="","",VLOOKUP(A20,Equipe!A:B,2,FALSE()))</f>
        <v/>
      </c>
      <c r="C20" s="100" t="str">
        <f aca="false">IF(B20="","",VLOOKUP(A20,Equipe!A:C,3,FALSE()))</f>
        <v/>
      </c>
      <c r="D20" s="13" t="str">
        <f aca="false">IF(A20="","",CONCATENATE(B20,"-",C20,"hrs"))</f>
        <v/>
      </c>
      <c r="E20" s="102" t="e">
        <f aca="false">VLOOKUP(H20,Equipe!D:F,3,FALSE())</f>
        <v>#N/A</v>
      </c>
      <c r="F20" s="103" t="e">
        <f aca="false">CONCATENATE(H20," - ",E20," hrs")</f>
        <v>#N/A</v>
      </c>
      <c r="G20" s="122"/>
      <c r="H20" s="14" t="s">
        <v>127</v>
      </c>
      <c r="I20" s="123"/>
      <c r="J20" s="14" t="s">
        <v>82</v>
      </c>
      <c r="K20" s="14" t="s">
        <v>66</v>
      </c>
      <c r="L20" s="105" t="n">
        <v>11503</v>
      </c>
      <c r="M20" s="105" t="n">
        <v>6426</v>
      </c>
      <c r="N20" s="14" t="s">
        <v>126</v>
      </c>
      <c r="O20" s="106" t="n">
        <v>142.62</v>
      </c>
      <c r="P20" s="124"/>
      <c r="Q20" s="108" t="n">
        <f aca="false">+O20</f>
        <v>142.62</v>
      </c>
      <c r="R20" s="109" t="n">
        <f aca="false">IF(Q20&gt;0,M20/Q20,0)</f>
        <v>45.0567942785023</v>
      </c>
      <c r="S20" s="110" t="n">
        <f aca="false">+P20</f>
        <v>0</v>
      </c>
      <c r="T20" s="111" t="n">
        <f aca="false">IF(S20&gt;0,M20/S20,0)</f>
        <v>0</v>
      </c>
      <c r="U20" s="125"/>
      <c r="V20" s="113"/>
      <c r="W20" s="114"/>
      <c r="X20" s="115"/>
      <c r="Y20" s="115"/>
      <c r="Z20" s="116" t="n">
        <f aca="false">IF(ISBLANK(Q20),"",IF(Q20&gt;0,(M20-V20)/Q20,0))</f>
        <v>45.0567942785023</v>
      </c>
      <c r="AA20" s="116" t="n">
        <f aca="false">IF(ISBLANK(S20),"",IF(W20&gt;0,(M20-W20)/S20,0))</f>
        <v>0</v>
      </c>
      <c r="AB20" s="117" t="n">
        <f aca="false">IF(S20&gt;0,IF(U20&gt;0,1-(Z20/U20),IF(U20&lt;&gt;0,1-(Z20+AA20)/U20)),0)</f>
        <v>0</v>
      </c>
    </row>
    <row r="21" customFormat="false" ht="12.75" hidden="false" customHeight="false" outlineLevel="0" collapsed="false">
      <c r="A21" s="99"/>
      <c r="B21" s="100" t="str">
        <f aca="false">IF(A21="","",VLOOKUP(A21,Equipe!A:B,2,FALSE()))</f>
        <v/>
      </c>
      <c r="C21" s="100" t="str">
        <f aca="false">IF(B21="","",VLOOKUP(A21,Equipe!A:C,3,FALSE()))</f>
        <v/>
      </c>
      <c r="D21" s="13" t="str">
        <f aca="false">IF(A21="","",CONCATENATE(B21,"-",C21,"hrs"))</f>
        <v/>
      </c>
      <c r="E21" s="102" t="e">
        <f aca="false">VLOOKUP(H21,Equipe!D:F,3,FALSE())</f>
        <v>#N/A</v>
      </c>
      <c r="F21" s="103" t="e">
        <f aca="false">CONCATENATE(H21," - ",E21," hrs")</f>
        <v>#N/A</v>
      </c>
      <c r="G21" s="122"/>
      <c r="H21" s="14"/>
      <c r="I21" s="123"/>
      <c r="J21" s="14" t="s">
        <v>36</v>
      </c>
      <c r="K21" s="126"/>
      <c r="L21" s="105" t="n">
        <v>22944</v>
      </c>
      <c r="M21" s="105" t="n">
        <v>4598</v>
      </c>
      <c r="N21" s="14" t="s">
        <v>126</v>
      </c>
      <c r="O21" s="106" t="n">
        <v>0</v>
      </c>
      <c r="P21" s="124"/>
      <c r="Q21" s="108" t="n">
        <f aca="false">+O21</f>
        <v>0</v>
      </c>
      <c r="R21" s="109" t="n">
        <f aca="false">IF(Q21&gt;0,M21/Q21,0)</f>
        <v>0</v>
      </c>
      <c r="S21" s="110" t="n">
        <f aca="false">+P21</f>
        <v>0</v>
      </c>
      <c r="T21" s="111" t="n">
        <f aca="false">IF(S21&gt;0,M21/S21,0)</f>
        <v>0</v>
      </c>
      <c r="U21" s="125"/>
      <c r="V21" s="113"/>
      <c r="W21" s="114"/>
      <c r="X21" s="115"/>
      <c r="Y21" s="115"/>
      <c r="Z21" s="116" t="n">
        <f aca="false">IF(ISBLANK(Q21),"",IF(Q21&gt;0,(M21-V21)/Q21,0))</f>
        <v>0</v>
      </c>
      <c r="AA21" s="116" t="n">
        <f aca="false">IF(ISBLANK(S21),"",IF(W21&gt;0,(M21-W21)/S21,0))</f>
        <v>0</v>
      </c>
      <c r="AB21" s="117" t="n">
        <f aca="false">IF(S21&gt;0,IF(U21&gt;0,1-(Z21/U21),IF(U21&lt;&gt;0,1-(Z21+AA21)/U21)),0)</f>
        <v>0</v>
      </c>
    </row>
    <row r="22" customFormat="false" ht="12.75" hidden="false" customHeight="false" outlineLevel="0" collapsed="false">
      <c r="A22" s="99"/>
      <c r="B22" s="100" t="str">
        <f aca="false">IF(A22="","",VLOOKUP(A22,Equipe!A:B,2,FALSE()))</f>
        <v/>
      </c>
      <c r="C22" s="100" t="str">
        <f aca="false">IF(B22="","",VLOOKUP(A22,Equipe!A:C,3,FALSE()))</f>
        <v/>
      </c>
      <c r="D22" s="13" t="str">
        <f aca="false">IF(A22="","",CONCATENATE(B22,"-",C22,"hrs"))</f>
        <v/>
      </c>
      <c r="E22" s="102" t="e">
        <f aca="false">VLOOKUP(H22,Equipe!D:F,3,FALSE())</f>
        <v>#N/A</v>
      </c>
      <c r="F22" s="103" t="e">
        <f aca="false">CONCATENATE(H22," - ",E22," hrs")</f>
        <v>#N/A</v>
      </c>
      <c r="G22" s="122"/>
      <c r="H22" s="14"/>
      <c r="I22" s="123"/>
      <c r="J22" s="14" t="s">
        <v>39</v>
      </c>
      <c r="K22" s="14" t="s">
        <v>40</v>
      </c>
      <c r="L22" s="105" t="n">
        <v>71620</v>
      </c>
      <c r="M22" s="105" t="n">
        <v>7198</v>
      </c>
      <c r="N22" s="14" t="s">
        <v>126</v>
      </c>
      <c r="O22" s="106" t="n">
        <v>134.52</v>
      </c>
      <c r="P22" s="127"/>
      <c r="Q22" s="108" t="n">
        <f aca="false">+O22</f>
        <v>134.52</v>
      </c>
      <c r="R22" s="109" t="n">
        <f aca="false">IF(Q22&gt;0,M22/Q22,0)</f>
        <v>53.5087719298246</v>
      </c>
      <c r="S22" s="110" t="n">
        <f aca="false">+P22</f>
        <v>0</v>
      </c>
      <c r="T22" s="111" t="n">
        <f aca="false">IF(S22&gt;0,M22/S22,0)</f>
        <v>0</v>
      </c>
      <c r="U22" s="125"/>
      <c r="V22" s="113"/>
      <c r="W22" s="114"/>
      <c r="X22" s="115"/>
      <c r="Y22" s="115"/>
      <c r="Z22" s="116" t="n">
        <f aca="false">IF(ISBLANK(Q22),"",IF(Q22&gt;0,(M22-V22)/Q22,0))</f>
        <v>53.5087719298246</v>
      </c>
      <c r="AA22" s="116" t="n">
        <f aca="false">IF(ISBLANK(S22),"",IF(W22&gt;0,(M22-W22)/S22,0))</f>
        <v>0</v>
      </c>
      <c r="AB22" s="117" t="n">
        <f aca="false">IF(S22&gt;0,IF(U22&gt;0,1-(Z22/U22),IF(U22&lt;&gt;0,1-(Z22+AA22)/U22)),0)</f>
        <v>0</v>
      </c>
    </row>
    <row r="23" customFormat="false" ht="12.75" hidden="false" customHeight="false" outlineLevel="0" collapsed="false">
      <c r="A23" s="99"/>
      <c r="B23" s="100" t="str">
        <f aca="false">IF(A23="","",VLOOKUP(A23,Equipe!A:B,2,FALSE()))</f>
        <v/>
      </c>
      <c r="C23" s="100" t="str">
        <f aca="false">IF(B23="","",VLOOKUP(A23,Equipe!A:C,3,FALSE()))</f>
        <v/>
      </c>
      <c r="D23" s="13" t="str">
        <f aca="false">IF(A23="","",CONCATENATE(B23,"-",C23,"hrs"))</f>
        <v/>
      </c>
      <c r="E23" s="102" t="e">
        <f aca="false">VLOOKUP(H23,Equipe!D:F,3,FALSE())</f>
        <v>#N/A</v>
      </c>
      <c r="F23" s="103" t="e">
        <f aca="false">CONCATENATE(H23," - ",E23," hrs")</f>
        <v>#N/A</v>
      </c>
      <c r="G23" s="122"/>
      <c r="H23" s="14"/>
      <c r="I23" s="123"/>
      <c r="J23" s="14" t="s">
        <v>70</v>
      </c>
      <c r="K23" s="14" t="s">
        <v>71</v>
      </c>
      <c r="L23" s="105" t="n">
        <v>15234</v>
      </c>
      <c r="M23" s="105" t="n">
        <v>3404</v>
      </c>
      <c r="N23" s="14" t="s">
        <v>126</v>
      </c>
      <c r="O23" s="106" t="n">
        <v>159.14</v>
      </c>
      <c r="P23" s="127"/>
      <c r="Q23" s="108" t="n">
        <f aca="false">+O23</f>
        <v>159.14</v>
      </c>
      <c r="R23" s="109" t="n">
        <f aca="false">IF(Q23&gt;0,M23/Q23,0)</f>
        <v>21.3899710946337</v>
      </c>
      <c r="S23" s="110" t="n">
        <f aca="false">+P23</f>
        <v>0</v>
      </c>
      <c r="T23" s="111" t="n">
        <f aca="false">IF(S23&gt;0,M23/S23,0)</f>
        <v>0</v>
      </c>
      <c r="U23" s="125"/>
      <c r="V23" s="113"/>
      <c r="W23" s="114"/>
      <c r="X23" s="115"/>
      <c r="Y23" s="115"/>
      <c r="Z23" s="116" t="n">
        <f aca="false">IF(ISBLANK(Q23),"",IF(Q23&gt;0,(M23-V23)/Q23,0))</f>
        <v>21.3899710946337</v>
      </c>
      <c r="AA23" s="116" t="n">
        <f aca="false">IF(ISBLANK(S23),"",IF(W23&gt;0,(M23-W23)/S23,0))</f>
        <v>0</v>
      </c>
      <c r="AB23" s="117" t="n">
        <f aca="false">IF(S23&gt;0,IF(U23&gt;0,1-(Z23/U23),IF(U23&lt;&gt;0,1-(Z23+AA23)/U23)),0)</f>
        <v>0</v>
      </c>
    </row>
    <row r="24" customFormat="false" ht="12.75" hidden="false" customHeight="false" outlineLevel="0" collapsed="false">
      <c r="A24" s="99"/>
      <c r="B24" s="100" t="str">
        <f aca="false">IF(A24="","",VLOOKUP(A24,Equipe!A:B,2,FALSE()))</f>
        <v/>
      </c>
      <c r="C24" s="100" t="str">
        <f aca="false">IF(B24="","",VLOOKUP(A24,Equipe!A:C,3,FALSE()))</f>
        <v/>
      </c>
      <c r="D24" s="13" t="str">
        <f aca="false">IF(A24="","",CONCATENATE(B24,"-",C24,"hrs"))</f>
        <v/>
      </c>
      <c r="E24" s="102" t="e">
        <f aca="false">VLOOKUP(H24,Equipe!D:F,3,FALSE())</f>
        <v>#N/A</v>
      </c>
      <c r="F24" s="103" t="e">
        <f aca="false">CONCATENATE(H24," - ",E24," hrs")</f>
        <v>#N/A</v>
      </c>
      <c r="G24" s="122"/>
      <c r="H24" s="14"/>
      <c r="I24" s="123"/>
      <c r="J24" s="14" t="s">
        <v>60</v>
      </c>
      <c r="K24" s="14" t="s">
        <v>61</v>
      </c>
      <c r="L24" s="105" t="n">
        <v>62339</v>
      </c>
      <c r="M24" s="105" t="n">
        <v>4799</v>
      </c>
      <c r="N24" s="14" t="s">
        <v>126</v>
      </c>
      <c r="O24" s="106" t="n">
        <v>108.66</v>
      </c>
      <c r="P24" s="127"/>
      <c r="Q24" s="108" t="n">
        <f aca="false">+O24</f>
        <v>108.66</v>
      </c>
      <c r="R24" s="109" t="n">
        <f aca="false">IF(Q24&gt;0,M24/Q24,0)</f>
        <v>44.1652862138782</v>
      </c>
      <c r="S24" s="110" t="n">
        <f aca="false">+P24</f>
        <v>0</v>
      </c>
      <c r="T24" s="111" t="n">
        <f aca="false">IF(S24&gt;0,M24/S24,0)</f>
        <v>0</v>
      </c>
      <c r="U24" s="125"/>
      <c r="V24" s="113"/>
      <c r="W24" s="114"/>
      <c r="X24" s="115"/>
      <c r="Y24" s="115"/>
      <c r="Z24" s="116" t="n">
        <f aca="false">IF(ISBLANK(Q24),"",IF(Q24&gt;0,(M24-V24)/Q24,0))</f>
        <v>44.1652862138782</v>
      </c>
      <c r="AA24" s="116" t="n">
        <f aca="false">IF(ISBLANK(S24),"",IF(W24&gt;0,(M24-W24)/S24,0))</f>
        <v>0</v>
      </c>
      <c r="AB24" s="117" t="n">
        <f aca="false">IF(S24&gt;0,IF(U24&gt;0,1-(Z24/U24),IF(U24&lt;&gt;0,1-(Z24+AA24)/U24)),0)</f>
        <v>0</v>
      </c>
    </row>
    <row r="25" customFormat="false" ht="12.75" hidden="false" customHeight="false" outlineLevel="0" collapsed="false">
      <c r="A25" s="99"/>
      <c r="B25" s="100" t="str">
        <f aca="false">IF(A25="","",VLOOKUP(A25,Equipe!A:B,2,FALSE()))</f>
        <v/>
      </c>
      <c r="C25" s="100" t="str">
        <f aca="false">IF(B25="","",VLOOKUP(A25,Equipe!A:C,3,FALSE()))</f>
        <v/>
      </c>
      <c r="D25" s="13" t="str">
        <f aca="false">IF(A25="","",CONCATENATE(B25,"-",C25,"hrs"))</f>
        <v/>
      </c>
      <c r="E25" s="102" t="e">
        <f aca="false">VLOOKUP(H25,Equipe!D:F,3,FALSE())</f>
        <v>#N/A</v>
      </c>
      <c r="F25" s="103" t="e">
        <f aca="false">CONCATENATE(H25," - ",E25," hrs")</f>
        <v>#N/A</v>
      </c>
      <c r="G25" s="122"/>
      <c r="H25" s="14"/>
      <c r="I25" s="123"/>
      <c r="J25" s="14" t="s">
        <v>49</v>
      </c>
      <c r="K25" s="14" t="s">
        <v>50</v>
      </c>
      <c r="L25" s="105" t="n">
        <v>1501</v>
      </c>
      <c r="M25" s="105" t="n">
        <v>502</v>
      </c>
      <c r="N25" s="14" t="s">
        <v>126</v>
      </c>
      <c r="O25" s="106" t="n">
        <v>126.23</v>
      </c>
      <c r="P25" s="127"/>
      <c r="Q25" s="108" t="n">
        <f aca="false">+O25</f>
        <v>126.23</v>
      </c>
      <c r="R25" s="109" t="n">
        <f aca="false">IF(Q25&gt;0,M25/Q25,0)</f>
        <v>3.97686762259368</v>
      </c>
      <c r="S25" s="110" t="n">
        <f aca="false">+P25</f>
        <v>0</v>
      </c>
      <c r="T25" s="111" t="n">
        <f aca="false">IF(S25&gt;0,M25/S25,0)</f>
        <v>0</v>
      </c>
      <c r="U25" s="125"/>
      <c r="V25" s="113"/>
      <c r="W25" s="114"/>
      <c r="X25" s="115"/>
      <c r="Y25" s="115"/>
      <c r="Z25" s="116" t="n">
        <f aca="false">IF(ISBLANK(Q25),"",IF(Q25&gt;0,(M25-V25)/Q25,0))</f>
        <v>3.97686762259368</v>
      </c>
      <c r="AA25" s="116" t="n">
        <f aca="false">IF(ISBLANK(S25),"",IF(W25&gt;0,(M25-W25)/S25,0))</f>
        <v>0</v>
      </c>
      <c r="AB25" s="117" t="n">
        <f aca="false">IF(S25&gt;0,IF(U25&gt;0,1-(Z25/U25),IF(U25&lt;&gt;0,1-(Z25+AA25)/U25)),0)</f>
        <v>0</v>
      </c>
    </row>
    <row r="26" customFormat="false" ht="12.75" hidden="false" customHeight="false" outlineLevel="0" collapsed="false">
      <c r="A26" s="99"/>
      <c r="B26" s="100" t="str">
        <f aca="false">IF(A26="","",VLOOKUP(A26,Equipe!A:B,2,FALSE()))</f>
        <v/>
      </c>
      <c r="C26" s="100" t="str">
        <f aca="false">IF(B26="","",VLOOKUP(A26,Equipe!A:C,3,FALSE()))</f>
        <v/>
      </c>
      <c r="D26" s="13" t="str">
        <f aca="false">IF(A26="","",CONCATENATE(B26,"-",C26,"hrs"))</f>
        <v/>
      </c>
      <c r="E26" s="102" t="e">
        <f aca="false">VLOOKUP(H26,Equipe!D:F,3,FALSE())</f>
        <v>#N/A</v>
      </c>
      <c r="F26" s="103" t="e">
        <f aca="false">CONCATENATE(H26," - ",E26," hrs")</f>
        <v>#N/A</v>
      </c>
      <c r="G26" s="122"/>
      <c r="H26" s="14"/>
      <c r="I26" s="123"/>
      <c r="J26" s="14" t="s">
        <v>68</v>
      </c>
      <c r="K26" s="14" t="s">
        <v>69</v>
      </c>
      <c r="L26" s="105" t="n">
        <v>28128</v>
      </c>
      <c r="M26" s="105" t="n">
        <v>13227</v>
      </c>
      <c r="N26" s="14" t="s">
        <v>126</v>
      </c>
      <c r="O26" s="106" t="n">
        <v>332.58</v>
      </c>
      <c r="P26" s="127"/>
      <c r="Q26" s="108" t="n">
        <f aca="false">+O26</f>
        <v>332.58</v>
      </c>
      <c r="R26" s="109" t="n">
        <f aca="false">IF(Q26&gt;0,M26/Q26,0)</f>
        <v>39.7708821937579</v>
      </c>
      <c r="S26" s="110" t="n">
        <f aca="false">+P26</f>
        <v>0</v>
      </c>
      <c r="T26" s="111" t="n">
        <f aca="false">IF(S26&gt;0,M26/S26,0)</f>
        <v>0</v>
      </c>
      <c r="U26" s="125"/>
      <c r="V26" s="113"/>
      <c r="W26" s="114"/>
      <c r="X26" s="115"/>
      <c r="Y26" s="115"/>
      <c r="Z26" s="116" t="n">
        <f aca="false">IF(ISBLANK(Q26),"",IF(Q26&gt;0,(M26-V26)/Q26,0))</f>
        <v>39.7708821937579</v>
      </c>
      <c r="AA26" s="116" t="n">
        <f aca="false">IF(ISBLANK(S26),"",IF(W26&gt;0,(M26-W26)/S26,0))</f>
        <v>0</v>
      </c>
      <c r="AB26" s="117" t="n">
        <f aca="false">IF(S26&gt;0,IF(U26&gt;0,1-(Z26/U26),IF(U26&lt;&gt;0,1-(Z26+AA26)/U26)),0)</f>
        <v>0</v>
      </c>
    </row>
    <row r="27" customFormat="false" ht="12.75" hidden="false" customHeight="false" outlineLevel="0" collapsed="false">
      <c r="A27" s="99"/>
      <c r="B27" s="100" t="str">
        <f aca="false">IF(A27="","",VLOOKUP(A27,Equipe!A:B,2,FALSE()))</f>
        <v/>
      </c>
      <c r="C27" s="100" t="str">
        <f aca="false">IF(B27="","",VLOOKUP(A27,Equipe!A:C,3,FALSE()))</f>
        <v/>
      </c>
      <c r="D27" s="13" t="str">
        <f aca="false">IF(A27="","",CONCATENATE(B27,"-",C27,"hrs"))</f>
        <v/>
      </c>
      <c r="E27" s="102" t="e">
        <f aca="false">VLOOKUP(H27,Equipe!D:F,3,FALSE())</f>
        <v>#N/A</v>
      </c>
      <c r="F27" s="103" t="e">
        <f aca="false">CONCATENATE(H27," - ",E27," hrs")</f>
        <v>#N/A</v>
      </c>
      <c r="G27" s="122"/>
      <c r="H27" s="14"/>
      <c r="I27" s="123"/>
      <c r="J27" s="14" t="s">
        <v>37</v>
      </c>
      <c r="K27" s="14" t="s">
        <v>38</v>
      </c>
      <c r="L27" s="105" t="n">
        <v>150120</v>
      </c>
      <c r="M27" s="105" t="n">
        <v>168800</v>
      </c>
      <c r="N27" s="14" t="s">
        <v>126</v>
      </c>
      <c r="O27" s="106" t="n">
        <v>472</v>
      </c>
      <c r="P27" s="127"/>
      <c r="Q27" s="108" t="n">
        <v>800</v>
      </c>
      <c r="R27" s="109" t="n">
        <f aca="false">IF(Q27&gt;0,M27/Q27,0)</f>
        <v>211</v>
      </c>
      <c r="S27" s="110" t="n">
        <f aca="false">+P27</f>
        <v>0</v>
      </c>
      <c r="T27" s="111" t="n">
        <f aca="false">IF(S27&gt;0,M27/S27,0)</f>
        <v>0</v>
      </c>
      <c r="U27" s="125"/>
      <c r="V27" s="113"/>
      <c r="W27" s="114"/>
      <c r="X27" s="115"/>
      <c r="Y27" s="115"/>
      <c r="Z27" s="116" t="n">
        <f aca="false">IF(ISBLANK(Q27),"",IF(Q27&gt;0,(M27-V27)/Q27,0))</f>
        <v>211</v>
      </c>
      <c r="AA27" s="116" t="n">
        <f aca="false">IF(ISBLANK(S27),"",IF(W27&gt;0,(M27-W27)/S27,0))</f>
        <v>0</v>
      </c>
      <c r="AB27" s="117" t="n">
        <f aca="false">IF(S27&gt;0,IF(U27&gt;0,1-(Z27/U27),IF(U27&lt;&gt;0,1-(Z27+AA27)/U27)),0)</f>
        <v>0</v>
      </c>
    </row>
    <row r="28" customFormat="false" ht="12.75" hidden="false" customHeight="false" outlineLevel="0" collapsed="false">
      <c r="A28" s="99"/>
      <c r="B28" s="100"/>
      <c r="C28" s="100"/>
      <c r="D28" s="13"/>
      <c r="E28" s="102" t="e">
        <f aca="false">VLOOKUP(H28,Equipe!D:F,3,FALSE())</f>
        <v>#N/A</v>
      </c>
      <c r="F28" s="103" t="e">
        <f aca="false">CONCATENATE(H28," - ",E28," hrs")</f>
        <v>#N/A</v>
      </c>
      <c r="G28" s="122"/>
      <c r="H28" s="14"/>
      <c r="I28" s="123"/>
      <c r="J28" s="14" t="s">
        <v>128</v>
      </c>
      <c r="K28" s="14" t="s">
        <v>129</v>
      </c>
      <c r="L28" s="105" t="n">
        <v>129898</v>
      </c>
      <c r="M28" s="105" t="n">
        <v>32556</v>
      </c>
      <c r="N28" s="14" t="s">
        <v>126</v>
      </c>
      <c r="O28" s="106" t="n">
        <v>159.19</v>
      </c>
      <c r="P28" s="127"/>
      <c r="Q28" s="108" t="n">
        <f aca="false">+O28</f>
        <v>159.19</v>
      </c>
      <c r="R28" s="109" t="n">
        <f aca="false">IF(Q28&gt;0,M28/Q28,0)</f>
        <v>204.510333563666</v>
      </c>
      <c r="S28" s="110" t="n">
        <f aca="false">+P28</f>
        <v>0</v>
      </c>
      <c r="T28" s="111" t="n">
        <f aca="false">IF(S28&gt;0,M28/S28,0)</f>
        <v>0</v>
      </c>
      <c r="U28" s="125"/>
      <c r="V28" s="113"/>
      <c r="W28" s="114"/>
      <c r="X28" s="115"/>
      <c r="Y28" s="115"/>
      <c r="Z28" s="116" t="n">
        <f aca="false">IF(ISBLANK(Q28),"",IF(Q28&gt;0,(M28-V28)/Q28,0))</f>
        <v>204.510333563666</v>
      </c>
      <c r="AA28" s="116" t="n">
        <f aca="false">IF(ISBLANK(S28),"",IF(W28&gt;0,(M28-W28)/S28,0))</f>
        <v>0</v>
      </c>
      <c r="AB28" s="117" t="n">
        <f aca="false">IF(S28&gt;0,IF(U28&gt;0,1-(Z28/U28),IF(U28&lt;&gt;0,1-(Z28+AA28)/U28)),0)</f>
        <v>0</v>
      </c>
    </row>
    <row r="29" customFormat="false" ht="12.75" hidden="false" customHeight="false" outlineLevel="0" collapsed="false">
      <c r="A29" s="99"/>
      <c r="B29" s="100" t="str">
        <f aca="false">IF(A29="","",VLOOKUP(A29,Equipe!A:B,2,FALSE()))</f>
        <v/>
      </c>
      <c r="C29" s="100" t="str">
        <f aca="false">IF(B29="","",VLOOKUP(A29,Equipe!A:C,3,FALSE()))</f>
        <v/>
      </c>
      <c r="D29" s="13" t="str">
        <f aca="false">IF(A29="","",CONCATENATE(B29,"-",C29,"hrs"))</f>
        <v/>
      </c>
      <c r="E29" s="102" t="e">
        <f aca="false">VLOOKUP(H29,Equipe!D:F,3,FALSE())</f>
        <v>#N/A</v>
      </c>
      <c r="F29" s="103" t="e">
        <f aca="false">CONCATENATE(H29," - ",E29," hrs")</f>
        <v>#N/A</v>
      </c>
      <c r="G29" s="122"/>
      <c r="H29" s="14"/>
      <c r="I29" s="123"/>
      <c r="J29" s="14" t="s">
        <v>74</v>
      </c>
      <c r="K29" s="14" t="s">
        <v>75</v>
      </c>
      <c r="L29" s="105" t="n">
        <v>25502</v>
      </c>
      <c r="M29" s="105" t="n">
        <v>3384</v>
      </c>
      <c r="N29" s="14" t="s">
        <v>126</v>
      </c>
      <c r="O29" s="106" t="n">
        <v>81.42</v>
      </c>
      <c r="P29" s="127"/>
      <c r="Q29" s="108" t="n">
        <f aca="false">+O29</f>
        <v>81.42</v>
      </c>
      <c r="R29" s="109" t="n">
        <f aca="false">IF(Q29&gt;0,M29/Q29,0)</f>
        <v>41.5622697126013</v>
      </c>
      <c r="S29" s="110" t="n">
        <f aca="false">+P29</f>
        <v>0</v>
      </c>
      <c r="T29" s="111" t="n">
        <f aca="false">IF(S29&gt;0,M29/S29,0)</f>
        <v>0</v>
      </c>
      <c r="U29" s="125"/>
      <c r="V29" s="113"/>
      <c r="W29" s="114"/>
      <c r="X29" s="115"/>
      <c r="Y29" s="115"/>
      <c r="Z29" s="116" t="n">
        <f aca="false">IF(ISBLANK(Q29),"",IF(Q29&gt;0,(M29-V29)/Q29,0))</f>
        <v>41.5622697126013</v>
      </c>
      <c r="AA29" s="116" t="n">
        <f aca="false">IF(ISBLANK(S29),"",IF(W29&gt;0,(M29-W29)/S29,0))</f>
        <v>0</v>
      </c>
      <c r="AB29" s="117" t="n">
        <f aca="false">IF(S29&gt;0,IF(U29&gt;0,1-(Z29/U29),IF(U29&lt;&gt;0,1-(Z29+AA29)/U29)),0)</f>
        <v>0</v>
      </c>
    </row>
    <row r="30" customFormat="false" ht="12.75" hidden="false" customHeight="false" outlineLevel="0" collapsed="false">
      <c r="A30" s="99"/>
      <c r="B30" s="100" t="str">
        <f aca="false">IF(A30="","",VLOOKUP(A30,Equipe!A:B,2,FALSE()))</f>
        <v/>
      </c>
      <c r="C30" s="100" t="str">
        <f aca="false">IF(B30="","",VLOOKUP(A30,Equipe!A:C,3,FALSE()))</f>
        <v/>
      </c>
      <c r="D30" s="13" t="str">
        <f aca="false">IF(A30="","",CONCATENATE(B30,"-",C30,"hrs"))</f>
        <v/>
      </c>
      <c r="E30" s="102" t="e">
        <f aca="false">VLOOKUP(H30,Equipe!D:F,3,FALSE())</f>
        <v>#N/A</v>
      </c>
      <c r="F30" s="103" t="e">
        <f aca="false">CONCATENATE(H30," - ",E30," hrs")</f>
        <v>#N/A</v>
      </c>
      <c r="G30" s="122"/>
      <c r="H30" s="14" t="s">
        <v>130</v>
      </c>
      <c r="I30" s="123"/>
      <c r="J30" s="14" t="s">
        <v>45</v>
      </c>
      <c r="K30" s="14" t="s">
        <v>46</v>
      </c>
      <c r="L30" s="105" t="n">
        <v>82336</v>
      </c>
      <c r="M30" s="105" t="n">
        <v>92953</v>
      </c>
      <c r="N30" s="14" t="s">
        <v>126</v>
      </c>
      <c r="O30" s="106" t="n">
        <v>304.71</v>
      </c>
      <c r="P30" s="127"/>
      <c r="Q30" s="108" t="n">
        <v>4000</v>
      </c>
      <c r="R30" s="109" t="n">
        <f aca="false">IF(Q30&gt;0,M30/Q30,0)</f>
        <v>23.23825</v>
      </c>
      <c r="S30" s="110" t="n">
        <f aca="false">+P30</f>
        <v>0</v>
      </c>
      <c r="T30" s="111" t="n">
        <f aca="false">IF(S30&gt;0,M30/S30,0)</f>
        <v>0</v>
      </c>
      <c r="U30" s="125"/>
      <c r="V30" s="113"/>
      <c r="W30" s="114"/>
      <c r="X30" s="115"/>
      <c r="Y30" s="115"/>
      <c r="Z30" s="116" t="n">
        <f aca="false">IF(ISBLANK(Q30),"",IF(Q30&gt;0,(M30-V30)/Q30,0))</f>
        <v>23.23825</v>
      </c>
      <c r="AA30" s="116" t="n">
        <f aca="false">IF(ISBLANK(S30),"",IF(W30&gt;0,(M30-W30)/S30,0))</f>
        <v>0</v>
      </c>
      <c r="AB30" s="117" t="n">
        <f aca="false">IF(S30&gt;0,IF(U30&gt;0,1-(Z30/U30),IF(U30&lt;&gt;0,1-(Z30+AA30)/U30)),0)</f>
        <v>0</v>
      </c>
    </row>
    <row r="31" customFormat="false" ht="12.75" hidden="false" customHeight="false" outlineLevel="0" collapsed="false">
      <c r="A31" s="99"/>
      <c r="B31" s="100" t="str">
        <f aca="false">IF(A31="","",VLOOKUP(A31,Equipe!A:B,2,FALSE()))</f>
        <v/>
      </c>
      <c r="C31" s="100" t="str">
        <f aca="false">IF(B31="","",VLOOKUP(A31,Equipe!A:C,3,FALSE()))</f>
        <v/>
      </c>
      <c r="D31" s="13" t="str">
        <f aca="false">IF(A31="","",CONCATENATE(B31,"-",C31,"hrs"))</f>
        <v/>
      </c>
      <c r="E31" s="102" t="e">
        <f aca="false">VLOOKUP(H31,Equipe!D:F,3,FALSE())</f>
        <v>#N/A</v>
      </c>
      <c r="F31" s="103" t="e">
        <f aca="false">CONCATENATE(H31," - ",E31," hrs")</f>
        <v>#N/A</v>
      </c>
      <c r="G31" s="122"/>
      <c r="H31" s="14"/>
      <c r="I31" s="123"/>
      <c r="J31" s="14" t="s">
        <v>65</v>
      </c>
      <c r="K31" s="14" t="s">
        <v>66</v>
      </c>
      <c r="L31" s="105" t="n">
        <v>36457</v>
      </c>
      <c r="M31" s="105" t="n">
        <v>11080</v>
      </c>
      <c r="N31" s="14" t="s">
        <v>126</v>
      </c>
      <c r="O31" s="106" t="n">
        <v>142.62</v>
      </c>
      <c r="P31" s="127"/>
      <c r="Q31" s="108" t="n">
        <f aca="false">+O31</f>
        <v>142.62</v>
      </c>
      <c r="R31" s="109" t="n">
        <f aca="false">IF(Q31&gt;0,M31/Q31,0)</f>
        <v>77.6889636797083</v>
      </c>
      <c r="S31" s="110" t="n">
        <f aca="false">+P31</f>
        <v>0</v>
      </c>
      <c r="T31" s="111" t="n">
        <f aca="false">IF(S31&gt;0,M31/S31,0)</f>
        <v>0</v>
      </c>
      <c r="U31" s="125"/>
      <c r="V31" s="113"/>
      <c r="W31" s="114"/>
      <c r="X31" s="115"/>
      <c r="Y31" s="115"/>
      <c r="Z31" s="116" t="n">
        <f aca="false">IF(ISBLANK(Q31),"",IF(Q31&gt;0,(M31-V31)/Q31,0))</f>
        <v>77.6889636797083</v>
      </c>
      <c r="AA31" s="116" t="n">
        <f aca="false">IF(ISBLANK(S31),"",IF(W31&gt;0,(M31-W31)/S31,0))</f>
        <v>0</v>
      </c>
      <c r="AB31" s="117" t="n">
        <f aca="false">IF(S31&gt;0,IF(U31&gt;0,1-(Z31/U31),IF(U31&lt;&gt;0,1-(Z31+AA31)/U31)),0)</f>
        <v>0</v>
      </c>
    </row>
    <row r="32" customFormat="false" ht="12.75" hidden="false" customHeight="false" outlineLevel="0" collapsed="false">
      <c r="A32" s="99"/>
      <c r="B32" s="100" t="str">
        <f aca="false">IF(A32="","",VLOOKUP(A32,Equipe!A:B,2,FALSE()))</f>
        <v/>
      </c>
      <c r="C32" s="100" t="str">
        <f aca="false">IF(B32="","",VLOOKUP(A32,Equipe!A:C,3,FALSE()))</f>
        <v/>
      </c>
      <c r="D32" s="13" t="str">
        <f aca="false">IF(A32="","",CONCATENATE(B32,"-",C32,"hrs"))</f>
        <v/>
      </c>
      <c r="E32" s="102" t="e">
        <f aca="false">VLOOKUP(H32,Equipe!D:F,3,FALSE())</f>
        <v>#N/A</v>
      </c>
      <c r="F32" s="103" t="e">
        <f aca="false">CONCATENATE(H32," - ",E32," hrs")</f>
        <v>#N/A</v>
      </c>
      <c r="G32" s="122"/>
      <c r="H32" s="14"/>
      <c r="I32" s="123"/>
      <c r="J32" s="14" t="s">
        <v>63</v>
      </c>
      <c r="K32" s="14" t="s">
        <v>64</v>
      </c>
      <c r="L32" s="105" t="n">
        <v>305338</v>
      </c>
      <c r="M32" s="105" t="n">
        <v>76872</v>
      </c>
      <c r="N32" s="14" t="s">
        <v>126</v>
      </c>
      <c r="O32" s="106" t="n">
        <v>200.31</v>
      </c>
      <c r="P32" s="127"/>
      <c r="Q32" s="108" t="n">
        <v>300</v>
      </c>
      <c r="R32" s="109" t="n">
        <f aca="false">IF(Q32&gt;0,M32/Q32,0)</f>
        <v>256.24</v>
      </c>
      <c r="S32" s="110" t="n">
        <f aca="false">+P32</f>
        <v>0</v>
      </c>
      <c r="T32" s="111" t="n">
        <f aca="false">IF(S32&gt;0,M32/S32,0)</f>
        <v>0</v>
      </c>
      <c r="U32" s="125"/>
      <c r="V32" s="113"/>
      <c r="W32" s="114"/>
      <c r="X32" s="115"/>
      <c r="Y32" s="115"/>
      <c r="Z32" s="116" t="n">
        <f aca="false">IF(ISBLANK(Q32),"",IF(Q32&gt;0,(M32-V32)/Q32,0))</f>
        <v>256.24</v>
      </c>
      <c r="AA32" s="116" t="n">
        <f aca="false">IF(ISBLANK(S32),"",IF(W32&gt;0,(M32-W32)/S32,0))</f>
        <v>0</v>
      </c>
      <c r="AB32" s="117" t="n">
        <f aca="false">IF(S32&gt;0,IF(U32&gt;0,1-(Z32/U32),IF(U32&lt;&gt;0,1-(Z32+AA32)/U32)),0)</f>
        <v>0</v>
      </c>
    </row>
    <row r="33" customFormat="false" ht="12.75" hidden="false" customHeight="false" outlineLevel="0" collapsed="false">
      <c r="A33" s="128"/>
      <c r="B33" s="129" t="str">
        <f aca="false">IF(A33="","",VLOOKUP(A33,Equipe!A:B,2,FALSE()))</f>
        <v/>
      </c>
      <c r="C33" s="129" t="str">
        <f aca="false">IF(B33="","",VLOOKUP(A33,Equipe!A:C,3,FALSE()))</f>
        <v/>
      </c>
      <c r="D33" s="13" t="str">
        <f aca="false">IF(A33="","",CONCATENATE(B33,"-",C33,"hrs"))</f>
        <v/>
      </c>
      <c r="E33" s="130" t="e">
        <f aca="false">VLOOKUP(H33,Equipe!D:F,3,FALSE())</f>
        <v>#N/A</v>
      </c>
      <c r="F33" s="131" t="e">
        <f aca="false">CONCATENATE(H33," - ",E33," hrs")</f>
        <v>#N/A</v>
      </c>
      <c r="G33" s="132"/>
      <c r="H33" s="14"/>
      <c r="I33" s="123"/>
      <c r="J33" s="14" t="s">
        <v>43</v>
      </c>
      <c r="K33" s="14" t="s">
        <v>44</v>
      </c>
      <c r="L33" s="105" t="n">
        <v>146509</v>
      </c>
      <c r="M33" s="105" t="n">
        <v>16716</v>
      </c>
      <c r="N33" s="14" t="s">
        <v>126</v>
      </c>
      <c r="O33" s="106" t="n">
        <v>211.75</v>
      </c>
      <c r="P33" s="133"/>
      <c r="Q33" s="134" t="n">
        <f aca="false">+O33</f>
        <v>211.75</v>
      </c>
      <c r="R33" s="135" t="n">
        <f aca="false">IF(Q33&gt;0,M33/Q33,0)</f>
        <v>78.9421487603306</v>
      </c>
      <c r="S33" s="110" t="n">
        <f aca="false">+P33</f>
        <v>0</v>
      </c>
      <c r="T33" s="136" t="n">
        <f aca="false">IF(S33&gt;0,M33/S33,0)</f>
        <v>0</v>
      </c>
      <c r="U33" s="137"/>
      <c r="V33" s="114"/>
      <c r="W33" s="114"/>
      <c r="X33" s="138"/>
      <c r="Y33" s="138"/>
      <c r="Z33" s="139" t="n">
        <f aca="false">IF(ISBLANK(Q33),"",IF(Q33&gt;0,(M33-V33)/Q33,0))</f>
        <v>78.9421487603306</v>
      </c>
      <c r="AA33" s="139" t="n">
        <f aca="false">IF(ISBLANK(S33),"",IF(W33&gt;0,(M33-W33)/S33,0))</f>
        <v>0</v>
      </c>
      <c r="AB33" s="140" t="n">
        <f aca="false">IF(S33&gt;0,IF(U33&gt;0,1-(Z33/U33),IF(U33&lt;&gt;0,1-(Z33+AA33)/U33)),0)</f>
        <v>0</v>
      </c>
    </row>
    <row r="34" customFormat="false" ht="12.75" hidden="false" customHeight="false" outlineLevel="0" collapsed="false">
      <c r="A34" s="128"/>
      <c r="B34" s="129" t="str">
        <f aca="false">IF(A34="","",VLOOKUP(A34,Equipe!A:B,2,FALSE()))</f>
        <v/>
      </c>
      <c r="C34" s="129" t="str">
        <f aca="false">IF(B34="","",VLOOKUP(A34,Equipe!A:C,3,FALSE()))</f>
        <v/>
      </c>
      <c r="D34" s="13" t="str">
        <f aca="false">IF(A34="","",CONCATENATE(B34,"-",C34,"hrs"))</f>
        <v/>
      </c>
      <c r="E34" s="130" t="e">
        <f aca="false">VLOOKUP(H34,Equipe!D:F,3,FALSE())</f>
        <v>#N/A</v>
      </c>
      <c r="F34" s="131" t="e">
        <f aca="false">CONCATENATE(H34," - ",E34," hrs")</f>
        <v>#N/A</v>
      </c>
      <c r="G34" s="132"/>
      <c r="H34" s="14"/>
      <c r="I34" s="123"/>
      <c r="J34" s="14" t="s">
        <v>72</v>
      </c>
      <c r="K34" s="14" t="s">
        <v>73</v>
      </c>
      <c r="L34" s="105" t="n">
        <v>224819</v>
      </c>
      <c r="M34" s="105" t="n">
        <v>74162</v>
      </c>
      <c r="N34" s="14" t="s">
        <v>126</v>
      </c>
      <c r="O34" s="106" t="n">
        <v>209.47</v>
      </c>
      <c r="P34" s="133"/>
      <c r="Q34" s="134" t="n">
        <f aca="false">+O34</f>
        <v>209.47</v>
      </c>
      <c r="R34" s="135" t="n">
        <f aca="false">IF(Q34&gt;0,M34/Q34,0)</f>
        <v>354.045925430849</v>
      </c>
      <c r="S34" s="110" t="n">
        <f aca="false">+P34</f>
        <v>0</v>
      </c>
      <c r="T34" s="136" t="n">
        <f aca="false">IF(S34&gt;0,M34/S34,0)</f>
        <v>0</v>
      </c>
      <c r="U34" s="137"/>
      <c r="V34" s="114"/>
      <c r="W34" s="114"/>
      <c r="X34" s="138"/>
      <c r="Y34" s="138"/>
      <c r="Z34" s="139" t="n">
        <f aca="false">IF(ISBLANK(Q34),"",IF(Q34&gt;0,(M34-V34)/Q34,0))</f>
        <v>354.045925430849</v>
      </c>
      <c r="AA34" s="139" t="n">
        <f aca="false">IF(ISBLANK(S34),"",IF(W34&gt;0,(M34-W34)/S34,0))</f>
        <v>0</v>
      </c>
      <c r="AB34" s="140" t="n">
        <f aca="false">IF(S34&gt;0,IF(U34&gt;0,1-(Z34/U34),IF(U34&lt;&gt;0,1-(Z34+AA34)/U34)),0)</f>
        <v>0</v>
      </c>
    </row>
    <row r="35" customFormat="false" ht="12.75" hidden="false" customHeight="false" outlineLevel="0" collapsed="false">
      <c r="A35" s="128"/>
      <c r="B35" s="129" t="str">
        <f aca="false">IF(A35="","",VLOOKUP(A35,Equipe!A:B,2,FALSE()))</f>
        <v/>
      </c>
      <c r="C35" s="129" t="str">
        <f aca="false">IF(B35="","",VLOOKUP(A35,Equipe!A:C,3,FALSE()))</f>
        <v/>
      </c>
      <c r="D35" s="13" t="str">
        <f aca="false">IF(A35="","",CONCATENATE(B35,"-",C35,"hrs"))</f>
        <v/>
      </c>
      <c r="E35" s="130" t="e">
        <f aca="false">VLOOKUP(H35,Equipe!D:F,3,FALSE())</f>
        <v>#N/A</v>
      </c>
      <c r="F35" s="131" t="e">
        <f aca="false">CONCATENATE(H35," - ",E35," hrs")</f>
        <v>#N/A</v>
      </c>
      <c r="G35" s="132"/>
      <c r="H35" s="14"/>
      <c r="I35" s="141"/>
      <c r="J35" s="14" t="s">
        <v>51</v>
      </c>
      <c r="K35" s="14" t="s">
        <v>52</v>
      </c>
      <c r="L35" s="105" t="n">
        <v>39169</v>
      </c>
      <c r="M35" s="105" t="n">
        <v>2613</v>
      </c>
      <c r="N35" s="14" t="s">
        <v>126</v>
      </c>
      <c r="O35" s="106" t="n">
        <v>184.6</v>
      </c>
      <c r="P35" s="133"/>
      <c r="Q35" s="134" t="n">
        <f aca="false">+O35</f>
        <v>184.6</v>
      </c>
      <c r="R35" s="135" t="n">
        <f aca="false">IF(Q35&gt;0,M35/Q35,0)</f>
        <v>14.1549295774648</v>
      </c>
      <c r="S35" s="110" t="n">
        <f aca="false">+P35</f>
        <v>0</v>
      </c>
      <c r="T35" s="136" t="n">
        <f aca="false">IF(S35&gt;0,M35/S35,0)</f>
        <v>0</v>
      </c>
      <c r="U35" s="137"/>
      <c r="V35" s="114"/>
      <c r="W35" s="114"/>
      <c r="X35" s="138"/>
      <c r="Y35" s="138"/>
      <c r="Z35" s="139" t="n">
        <f aca="false">IF(ISBLANK(Q35),"",IF(Q35&gt;0,(M35-V35)/Q35,0))</f>
        <v>14.1549295774648</v>
      </c>
      <c r="AA35" s="139" t="n">
        <f aca="false">IF(ISBLANK(S35),"",IF(W35&gt;0,(M35-W35)/S35,0))</f>
        <v>0</v>
      </c>
      <c r="AB35" s="140" t="n">
        <f aca="false">IF(S35&gt;0,IF(U35&gt;0,1-(Z35/U35),IF(U35&lt;&gt;0,1-(Z35+AA35)/U35)),0)</f>
        <v>0</v>
      </c>
    </row>
    <row r="36" customFormat="false" ht="12.75" hidden="false" customHeight="false" outlineLevel="0" collapsed="false">
      <c r="A36" s="128"/>
      <c r="B36" s="129" t="str">
        <f aca="false">IF(A36="","",VLOOKUP(A36,Equipe!A:B,2,FALSE()))</f>
        <v/>
      </c>
      <c r="C36" s="129" t="str">
        <f aca="false">IF(B36="","",VLOOKUP(A36,Equipe!A:C,3,FALSE()))</f>
        <v/>
      </c>
      <c r="D36" s="13" t="str">
        <f aca="false">IF(A36="","",CONCATENATE(B36,"-",C36,"hrs"))</f>
        <v/>
      </c>
      <c r="E36" s="130" t="e">
        <f aca="false">VLOOKUP(H36,Equipe!D:F,3,FALSE())</f>
        <v>#N/A</v>
      </c>
      <c r="F36" s="131" t="e">
        <f aca="false">CONCATENATE(H36," - ",E36," hrs")</f>
        <v>#N/A</v>
      </c>
      <c r="G36" s="132"/>
      <c r="H36" s="14"/>
      <c r="I36" s="141"/>
      <c r="J36" s="14" t="s">
        <v>67</v>
      </c>
      <c r="K36" s="14" t="s">
        <v>55</v>
      </c>
      <c r="L36" s="105" t="n">
        <v>106149</v>
      </c>
      <c r="M36" s="105" t="n">
        <v>53319</v>
      </c>
      <c r="N36" s="14" t="s">
        <v>126</v>
      </c>
      <c r="O36" s="106" t="n">
        <v>126.23</v>
      </c>
      <c r="P36" s="133"/>
      <c r="Q36" s="134" t="n">
        <f aca="false">+O36</f>
        <v>126.23</v>
      </c>
      <c r="R36" s="135" t="n">
        <f aca="false">IF(Q36&gt;0,M36/Q36,0)</f>
        <v>422.395627030025</v>
      </c>
      <c r="S36" s="110" t="n">
        <f aca="false">+P36</f>
        <v>0</v>
      </c>
      <c r="T36" s="136" t="n">
        <f aca="false">IF(S36&gt;0,M36/S36,0)</f>
        <v>0</v>
      </c>
      <c r="U36" s="137"/>
      <c r="V36" s="114"/>
      <c r="W36" s="114"/>
      <c r="X36" s="138"/>
      <c r="Y36" s="138"/>
      <c r="Z36" s="139" t="n">
        <f aca="false">IF(ISBLANK(Q36),"",IF(Q36&gt;0,(M36-V36)/Q36,0))</f>
        <v>422.395627030025</v>
      </c>
      <c r="AA36" s="139" t="n">
        <f aca="false">IF(ISBLANK(S36),"",IF(W36&gt;0,(M36-W36)/S36,0))</f>
        <v>0</v>
      </c>
      <c r="AB36" s="140" t="n">
        <f aca="false">IF(S36&gt;0,IF(U36&gt;0,1-(Z36/U36),IF(U36&lt;&gt;0,1-(Z36+AA36)/U36)),0)</f>
        <v>0</v>
      </c>
    </row>
    <row r="37" customFormat="false" ht="12.75" hidden="false" customHeight="false" outlineLevel="0" collapsed="false">
      <c r="A37" s="128"/>
      <c r="B37" s="129" t="str">
        <f aca="false">IF(A37="","",VLOOKUP(A37,Equipe!A:B,2,FALSE()))</f>
        <v/>
      </c>
      <c r="C37" s="129" t="str">
        <f aca="false">IF(B37="","",VLOOKUP(A37,Equipe!A:C,3,FALSE()))</f>
        <v/>
      </c>
      <c r="D37" s="13" t="str">
        <f aca="false">IF(A37="","",CONCATENATE(B37,"-",C37,"hrs"))</f>
        <v/>
      </c>
      <c r="E37" s="130" t="e">
        <f aca="false">VLOOKUP(H37,Equipe!D:F,3,FALSE())</f>
        <v>#N/A</v>
      </c>
      <c r="F37" s="131" t="e">
        <f aca="false">CONCATENATE(H37," - ",E37," hrs")</f>
        <v>#N/A</v>
      </c>
      <c r="G37" s="132"/>
      <c r="H37" s="14"/>
      <c r="I37" s="141"/>
      <c r="J37" s="14" t="s">
        <v>67</v>
      </c>
      <c r="K37" s="14" t="s">
        <v>55</v>
      </c>
      <c r="L37" s="105" t="n">
        <v>106397</v>
      </c>
      <c r="M37" s="105" t="n">
        <v>53440</v>
      </c>
      <c r="N37" s="14" t="s">
        <v>126</v>
      </c>
      <c r="O37" s="106" t="n">
        <v>126.23</v>
      </c>
      <c r="P37" s="133"/>
      <c r="Q37" s="134" t="n">
        <f aca="false">+O37</f>
        <v>126.23</v>
      </c>
      <c r="R37" s="135" t="n">
        <f aca="false">IF(Q37&gt;0,M37/Q37,0)</f>
        <v>423.354194723917</v>
      </c>
      <c r="S37" s="110" t="n">
        <f aca="false">+P37</f>
        <v>0</v>
      </c>
      <c r="T37" s="136" t="n">
        <f aca="false">IF(S37&gt;0,M37/S37,0)</f>
        <v>0</v>
      </c>
      <c r="U37" s="137"/>
      <c r="V37" s="114"/>
      <c r="W37" s="114"/>
      <c r="X37" s="138"/>
      <c r="Y37" s="138"/>
      <c r="Z37" s="139" t="n">
        <f aca="false">IF(ISBLANK(Q37),"",IF(Q37&gt;0,(M37-V37)/Q37,0))</f>
        <v>423.354194723917</v>
      </c>
      <c r="AA37" s="139" t="n">
        <f aca="false">IF(ISBLANK(S37),"",IF(W37&gt;0,(M37-W37)/S37,0))</f>
        <v>0</v>
      </c>
      <c r="AB37" s="140" t="n">
        <f aca="false">IF(S37&gt;0,IF(U37&gt;0,1-(Z37/U37),IF(U37&lt;&gt;0,1-(Z37+AA37)/U37)),0)</f>
        <v>0</v>
      </c>
    </row>
    <row r="38" customFormat="false" ht="12.75" hidden="false" customHeight="false" outlineLevel="0" collapsed="false">
      <c r="A38" s="128"/>
      <c r="B38" s="129" t="str">
        <f aca="false">IF(A38="","",VLOOKUP(A38,Equipe!A:B,2,FALSE()))</f>
        <v/>
      </c>
      <c r="C38" s="129" t="str">
        <f aca="false">IF(B38="","",VLOOKUP(A38,Equipe!A:C,3,FALSE()))</f>
        <v/>
      </c>
      <c r="D38" s="101"/>
      <c r="E38" s="130" t="e">
        <f aca="false">VLOOKUP(H38,Equipe!D:F,3,FALSE())</f>
        <v>#N/A</v>
      </c>
      <c r="F38" s="131" t="e">
        <f aca="false">CONCATENATE(H38," - ",E38," hrs")</f>
        <v>#N/A</v>
      </c>
      <c r="G38" s="101"/>
      <c r="H38" s="14"/>
      <c r="I38" s="101"/>
      <c r="J38" s="14" t="s">
        <v>131</v>
      </c>
      <c r="K38" s="14" t="s">
        <v>132</v>
      </c>
      <c r="L38" s="105" t="n">
        <v>151051</v>
      </c>
      <c r="M38" s="105" t="n">
        <v>23891</v>
      </c>
      <c r="N38" s="14" t="s">
        <v>126</v>
      </c>
      <c r="O38" s="106" t="n">
        <v>36.31</v>
      </c>
      <c r="P38" s="142"/>
      <c r="Q38" s="134" t="n">
        <f aca="false">+O38</f>
        <v>36.31</v>
      </c>
      <c r="R38" s="135" t="n">
        <f aca="false">IF(Q38&gt;0,M38/Q38,0)</f>
        <v>657.97301019003</v>
      </c>
      <c r="S38" s="110" t="n">
        <f aca="false">+P38</f>
        <v>0</v>
      </c>
      <c r="T38" s="136" t="n">
        <f aca="false">IF(S38&gt;0,M38/S38,0)</f>
        <v>0</v>
      </c>
      <c r="U38" s="143"/>
      <c r="V38" s="114"/>
      <c r="W38" s="114"/>
      <c r="X38" s="138"/>
      <c r="Y38" s="138"/>
      <c r="Z38" s="139" t="n">
        <f aca="false">IF(ISBLANK(Q38),"",IF(Q38&gt;0,(M38-V38)/Q38,0))</f>
        <v>657.97301019003</v>
      </c>
      <c r="AA38" s="139" t="n">
        <f aca="false">IF(ISBLANK(S38),"",IF(W38&gt;0,(M38-W38)/S38,0))</f>
        <v>0</v>
      </c>
      <c r="AB38" s="140" t="n">
        <f aca="false">IF(S38&gt;0,IF(U38&gt;0,1-(Z38/U38),IF(U38&lt;&gt;0,1-(Z38+AA38)/U38)),0)</f>
        <v>0</v>
      </c>
    </row>
    <row r="39" customFormat="false" ht="12.75" hidden="false" customHeight="false" outlineLevel="0" collapsed="false">
      <c r="A39" s="128"/>
      <c r="B39" s="129" t="str">
        <f aca="false">IF(A39="","",VLOOKUP(A39,Equipe!A:B,2,FALSE()))</f>
        <v/>
      </c>
      <c r="C39" s="129" t="str">
        <f aca="false">IF(B39="","",VLOOKUP(A39,Equipe!A:C,3,FALSE()))</f>
        <v/>
      </c>
      <c r="D39" s="101"/>
      <c r="E39" s="130" t="e">
        <f aca="false">VLOOKUP(H39,Equipe!D:F,3,FALSE())</f>
        <v>#N/A</v>
      </c>
      <c r="F39" s="131" t="e">
        <f aca="false">CONCATENATE(H39," - ",E39," hrs")</f>
        <v>#N/A</v>
      </c>
      <c r="G39" s="101"/>
      <c r="H39" s="14"/>
      <c r="I39" s="101"/>
      <c r="J39" s="14" t="s">
        <v>133</v>
      </c>
      <c r="K39" s="14" t="s">
        <v>134</v>
      </c>
      <c r="L39" s="105" t="n">
        <v>98572</v>
      </c>
      <c r="M39" s="105" t="n">
        <v>32883</v>
      </c>
      <c r="N39" s="14" t="s">
        <v>126</v>
      </c>
      <c r="O39" s="106" t="n">
        <v>243.95</v>
      </c>
      <c r="P39" s="142"/>
      <c r="Q39" s="134" t="n">
        <f aca="false">+O39</f>
        <v>243.95</v>
      </c>
      <c r="R39" s="135" t="n">
        <f aca="false">IF(Q39&gt;0,M39/Q39,0)</f>
        <v>134.794015167042</v>
      </c>
      <c r="S39" s="110" t="n">
        <f aca="false">+P39</f>
        <v>0</v>
      </c>
      <c r="T39" s="136" t="n">
        <f aca="false">IF(S39&gt;0,M39/S39,0)</f>
        <v>0</v>
      </c>
      <c r="U39" s="143"/>
      <c r="V39" s="114"/>
      <c r="W39" s="114"/>
      <c r="X39" s="138"/>
      <c r="Y39" s="138"/>
      <c r="Z39" s="139" t="n">
        <f aca="false">IF(ISBLANK(Q39),"",IF(Q39&gt;0,(M39-V39)/Q39,0))</f>
        <v>134.794015167042</v>
      </c>
      <c r="AA39" s="139" t="n">
        <f aca="false">IF(ISBLANK(S39),"",IF(W39&gt;0,(M39-W39)/S39,0))</f>
        <v>0</v>
      </c>
      <c r="AB39" s="140" t="n">
        <f aca="false">IF(S39&gt;0,IF(U39&gt;0,1-(Z39/U39),IF(U39&lt;&gt;0,1-(Z39+AA39)/U39)),0)</f>
        <v>0</v>
      </c>
    </row>
    <row r="40" customFormat="false" ht="12.75" hidden="false" customHeight="false" outlineLevel="0" collapsed="false">
      <c r="A40" s="128"/>
      <c r="B40" s="129" t="str">
        <f aca="false">IF(A40="","",VLOOKUP(A40,Equipe!A:B,2,FALSE()))</f>
        <v/>
      </c>
      <c r="C40" s="129" t="str">
        <f aca="false">IF(B40="","",VLOOKUP(A40,Equipe!A:C,3,FALSE()))</f>
        <v/>
      </c>
      <c r="D40" s="101"/>
      <c r="E40" s="130" t="e">
        <f aca="false">VLOOKUP(H40,Equipe!D:F,3,FALSE())</f>
        <v>#N/A</v>
      </c>
      <c r="F40" s="131" t="e">
        <f aca="false">CONCATENATE(H40," - ",E40," hrs")</f>
        <v>#N/A</v>
      </c>
      <c r="G40" s="101"/>
      <c r="H40" s="14"/>
      <c r="I40" s="101"/>
      <c r="J40" s="14" t="s">
        <v>135</v>
      </c>
      <c r="K40" s="14" t="s">
        <v>136</v>
      </c>
      <c r="L40" s="105" t="n">
        <v>49326</v>
      </c>
      <c r="M40" s="105" t="n">
        <v>16497</v>
      </c>
      <c r="N40" s="14" t="s">
        <v>126</v>
      </c>
      <c r="O40" s="106" t="n">
        <v>154.35</v>
      </c>
      <c r="P40" s="142"/>
      <c r="Q40" s="134" t="n">
        <f aca="false">+O40</f>
        <v>154.35</v>
      </c>
      <c r="R40" s="135" t="n">
        <f aca="false">IF(Q40&gt;0,M40/Q40,0)</f>
        <v>106.880466472303</v>
      </c>
      <c r="S40" s="110" t="n">
        <f aca="false">+P40</f>
        <v>0</v>
      </c>
      <c r="T40" s="136" t="n">
        <f aca="false">IF(S40&gt;0,M40/S40,0)</f>
        <v>0</v>
      </c>
      <c r="U40" s="143"/>
      <c r="V40" s="114"/>
      <c r="W40" s="114"/>
      <c r="X40" s="138"/>
      <c r="Y40" s="138"/>
      <c r="Z40" s="139" t="n">
        <f aca="false">IF(ISBLANK(Q40),"",IF(Q40&gt;0,(M40-V40)/Q40,0))</f>
        <v>106.880466472303</v>
      </c>
      <c r="AA40" s="139" t="n">
        <f aca="false">IF(ISBLANK(S40),"",IF(W40&gt;0,(M40-W40)/S40,0))</f>
        <v>0</v>
      </c>
      <c r="AB40" s="140" t="n">
        <f aca="false">IF(S40&gt;0,IF(U40&gt;0,1-(Z40/U40),IF(U40&lt;&gt;0,1-(Z40+AA40)/U40)),0)</f>
        <v>0</v>
      </c>
    </row>
    <row r="41" customFormat="false" ht="12.75" hidden="false" customHeight="false" outlineLevel="0" collapsed="false">
      <c r="A41" s="128"/>
      <c r="B41" s="129" t="str">
        <f aca="false">IF(A41="","",VLOOKUP(A41,Equipe!A:B,2,FALSE()))</f>
        <v/>
      </c>
      <c r="C41" s="129" t="str">
        <f aca="false">IF(B41="","",VLOOKUP(A41,Equipe!A:C,3,FALSE()))</f>
        <v/>
      </c>
      <c r="D41" s="101"/>
      <c r="E41" s="130" t="e">
        <f aca="false">VLOOKUP(H41,Equipe!D:F,3,FALSE())</f>
        <v>#N/A</v>
      </c>
      <c r="F41" s="131" t="e">
        <f aca="false">CONCATENATE(H41," - ",E41," hrs")</f>
        <v>#N/A</v>
      </c>
      <c r="G41" s="101"/>
      <c r="H41" s="14" t="s">
        <v>130</v>
      </c>
      <c r="I41" s="101"/>
      <c r="J41" s="14" t="s">
        <v>137</v>
      </c>
      <c r="K41" s="14" t="s">
        <v>138</v>
      </c>
      <c r="L41" s="105" t="n">
        <v>67331</v>
      </c>
      <c r="M41" s="105" t="n">
        <v>9900</v>
      </c>
      <c r="N41" s="14" t="s">
        <v>126</v>
      </c>
      <c r="O41" s="106" t="n">
        <v>4000</v>
      </c>
      <c r="P41" s="142"/>
      <c r="Q41" s="134" t="n">
        <f aca="false">+O41</f>
        <v>4000</v>
      </c>
      <c r="R41" s="135" t="n">
        <f aca="false">IF(Q41&gt;0,M41/Q41,0)</f>
        <v>2.475</v>
      </c>
      <c r="S41" s="110" t="n">
        <f aca="false">+P41</f>
        <v>0</v>
      </c>
      <c r="T41" s="136" t="n">
        <f aca="false">IF(S41&gt;0,M41/S41,0)</f>
        <v>0</v>
      </c>
      <c r="U41" s="143"/>
      <c r="V41" s="114"/>
      <c r="W41" s="114"/>
      <c r="X41" s="138"/>
      <c r="Y41" s="138"/>
      <c r="Z41" s="139" t="n">
        <f aca="false">IF(ISBLANK(Q41),"",IF(Q41&gt;0,(M41-V41)/Q41,0))</f>
        <v>2.475</v>
      </c>
      <c r="AA41" s="139" t="n">
        <f aca="false">IF(ISBLANK(S41),"",IF(W41&gt;0,(M41-W41)/S41,0))</f>
        <v>0</v>
      </c>
      <c r="AB41" s="140" t="n">
        <f aca="false">IF(S41&gt;0,IF(U41&gt;0,1-(Z41/U41),IF(U41&lt;&gt;0,1-(Z41+AA41)/U41)),0)</f>
        <v>0</v>
      </c>
    </row>
    <row r="42" customFormat="false" ht="12.75" hidden="false" customHeight="false" outlineLevel="0" collapsed="false">
      <c r="A42" s="128"/>
      <c r="B42" s="129" t="str">
        <f aca="false">IF(A42="","",VLOOKUP(A42,Equipe!A:B,2,FALSE()))</f>
        <v/>
      </c>
      <c r="C42" s="129" t="str">
        <f aca="false">IF(B42="","",VLOOKUP(A42,Equipe!A:C,3,FALSE()))</f>
        <v/>
      </c>
      <c r="D42" s="101"/>
      <c r="E42" s="130" t="e">
        <f aca="false">VLOOKUP(H42,Equipe!D:F,3,FALSE())</f>
        <v>#N/A</v>
      </c>
      <c r="F42" s="131" t="e">
        <f aca="false">CONCATENATE(H42," - ",E42," hrs")</f>
        <v>#N/A</v>
      </c>
      <c r="G42" s="101"/>
      <c r="H42" s="14"/>
      <c r="I42" s="101"/>
      <c r="J42" s="14"/>
      <c r="K42" s="14"/>
      <c r="L42" s="105"/>
      <c r="M42" s="105"/>
      <c r="N42" s="14"/>
      <c r="O42" s="106"/>
      <c r="P42" s="142"/>
      <c r="Q42" s="134" t="n">
        <f aca="false">+O42</f>
        <v>0</v>
      </c>
      <c r="R42" s="135" t="n">
        <f aca="false">IF(Q42&gt;0,M42/Q42,0)</f>
        <v>0</v>
      </c>
      <c r="S42" s="110" t="n">
        <f aca="false">+P42</f>
        <v>0</v>
      </c>
      <c r="T42" s="136" t="n">
        <f aca="false">IF(S42&gt;0,M42/S42,0)</f>
        <v>0</v>
      </c>
      <c r="U42" s="143"/>
      <c r="V42" s="114"/>
      <c r="W42" s="114"/>
      <c r="X42" s="138"/>
      <c r="Y42" s="138"/>
      <c r="Z42" s="139" t="n">
        <f aca="false">IF(ISBLANK(Q42),"",IF(Q42&gt;0,(M42-V42)/Q42,0))</f>
        <v>0</v>
      </c>
      <c r="AA42" s="139" t="n">
        <f aca="false">IF(ISBLANK(S42),"",IF(W42&gt;0,(M42-W42)/S42,0))</f>
        <v>0</v>
      </c>
      <c r="AB42" s="140" t="n">
        <f aca="false">IF(S42&gt;0,IF(U42&gt;0,1-(Z42/U42),IF(U42&lt;&gt;0,1-(Z42+AA42)/U42)),0)</f>
        <v>0</v>
      </c>
    </row>
    <row r="43" customFormat="false" ht="12.75" hidden="false" customHeight="false" outlineLevel="0" collapsed="false">
      <c r="A43" s="128"/>
      <c r="B43" s="129" t="str">
        <f aca="false">IF(A43="","",VLOOKUP(A43,Equipe!A:B,2,FALSE()))</f>
        <v/>
      </c>
      <c r="C43" s="129" t="str">
        <f aca="false">IF(B43="","",VLOOKUP(A43,Equipe!A:C,3,FALSE()))</f>
        <v/>
      </c>
      <c r="D43" s="101"/>
      <c r="E43" s="130" t="e">
        <f aca="false">VLOOKUP(H43,Equipe!D:F,3,FALSE())</f>
        <v>#N/A</v>
      </c>
      <c r="F43" s="131" t="e">
        <f aca="false">CONCATENATE(H43," - ",E43," hrs")</f>
        <v>#N/A</v>
      </c>
      <c r="G43" s="101"/>
      <c r="H43" s="14"/>
      <c r="I43" s="101"/>
      <c r="J43" s="14"/>
      <c r="K43" s="14"/>
      <c r="L43" s="105"/>
      <c r="M43" s="105"/>
      <c r="N43" s="14"/>
      <c r="O43" s="106"/>
      <c r="P43" s="142"/>
      <c r="Q43" s="134" t="n">
        <f aca="false">+O43</f>
        <v>0</v>
      </c>
      <c r="R43" s="135" t="n">
        <f aca="false">IF(Q43&gt;0,M43/Q43,0)</f>
        <v>0</v>
      </c>
      <c r="S43" s="110" t="n">
        <f aca="false">+P43</f>
        <v>0</v>
      </c>
      <c r="T43" s="136" t="n">
        <f aca="false">IF(S43&gt;0,M43/S43,0)</f>
        <v>0</v>
      </c>
      <c r="U43" s="143"/>
      <c r="V43" s="114"/>
      <c r="W43" s="114"/>
      <c r="X43" s="138"/>
      <c r="Y43" s="138"/>
      <c r="Z43" s="139" t="n">
        <f aca="false">IF(ISBLANK(Q43),"",IF(Q43&gt;0,(M43-V43)/Q43,0))</f>
        <v>0</v>
      </c>
      <c r="AA43" s="139" t="n">
        <f aca="false">IF(ISBLANK(S43),"",IF(W43&gt;0,(M43-W43)/S43,0))</f>
        <v>0</v>
      </c>
      <c r="AB43" s="140" t="n">
        <f aca="false">IF(S43&gt;0,IF(U43&gt;0,1-(Z43/U43),IF(U43&lt;&gt;0,1-(Z43+AA43)/U43)),0)</f>
        <v>0</v>
      </c>
    </row>
    <row r="44" customFormat="false" ht="12.75" hidden="false" customHeight="false" outlineLevel="0" collapsed="false">
      <c r="A44" s="128"/>
      <c r="B44" s="129" t="str">
        <f aca="false">IF(A44="","",VLOOKUP(A44,Equipe!A:B,2,FALSE()))</f>
        <v/>
      </c>
      <c r="C44" s="129" t="str">
        <f aca="false">IF(B44="","",VLOOKUP(A44,Equipe!A:C,3,FALSE()))</f>
        <v/>
      </c>
      <c r="D44" s="101"/>
      <c r="E44" s="130" t="e">
        <f aca="false">VLOOKUP(H44,Equipe!D:F,3,FALSE())</f>
        <v>#N/A</v>
      </c>
      <c r="F44" s="131" t="e">
        <f aca="false">CONCATENATE(H44," - ",E44," hrs")</f>
        <v>#N/A</v>
      </c>
      <c r="G44" s="101"/>
      <c r="H44" s="14"/>
      <c r="I44" s="101"/>
      <c r="J44" s="14"/>
      <c r="K44" s="14"/>
      <c r="L44" s="105"/>
      <c r="M44" s="105"/>
      <c r="N44" s="14"/>
      <c r="O44" s="106"/>
      <c r="P44" s="142"/>
      <c r="Q44" s="134" t="n">
        <f aca="false">+O44</f>
        <v>0</v>
      </c>
      <c r="R44" s="135" t="n">
        <f aca="false">IF(Q44&gt;0,M44/Q44,0)</f>
        <v>0</v>
      </c>
      <c r="S44" s="110" t="n">
        <f aca="false">+P44</f>
        <v>0</v>
      </c>
      <c r="T44" s="136" t="n">
        <f aca="false">IF(S44&gt;0,M44/S44,0)</f>
        <v>0</v>
      </c>
      <c r="U44" s="143"/>
      <c r="V44" s="114"/>
      <c r="W44" s="114"/>
      <c r="X44" s="138"/>
      <c r="Y44" s="138"/>
      <c r="Z44" s="139" t="n">
        <f aca="false">IF(ISBLANK(Q44),"",IF(Q44&gt;0,(M44-V44)/Q44,0))</f>
        <v>0</v>
      </c>
      <c r="AA44" s="139" t="n">
        <f aca="false">IF(ISBLANK(S44),"",IF(W44&gt;0,(M44-W44)/S44,0))</f>
        <v>0</v>
      </c>
      <c r="AB44" s="140" t="n">
        <f aca="false">IF(S44&gt;0,IF(U44&gt;0,1-(Z44/U44),IF(U44&lt;&gt;0,1-(Z44+AA44)/U44)),0)</f>
        <v>0</v>
      </c>
    </row>
    <row r="45" customFormat="false" ht="12.75" hidden="false" customHeight="false" outlineLevel="0" collapsed="false">
      <c r="A45" s="128"/>
      <c r="B45" s="129" t="str">
        <f aca="false">IF(A45="","",VLOOKUP(A45,Equipe!A:B,2,FALSE()))</f>
        <v/>
      </c>
      <c r="C45" s="129" t="str">
        <f aca="false">IF(B45="","",VLOOKUP(A45,Equipe!A:C,3,FALSE()))</f>
        <v/>
      </c>
      <c r="D45" s="101"/>
      <c r="E45" s="130" t="e">
        <f aca="false">VLOOKUP(H45,Equipe!D:F,3,FALSE())</f>
        <v>#N/A</v>
      </c>
      <c r="F45" s="131" t="e">
        <f aca="false">CONCATENATE(H45," - ",E45," hrs")</f>
        <v>#N/A</v>
      </c>
      <c r="G45" s="101"/>
      <c r="H45" s="14"/>
      <c r="I45" s="101"/>
      <c r="J45" s="14"/>
      <c r="K45" s="14"/>
      <c r="L45" s="105"/>
      <c r="M45" s="105"/>
      <c r="N45" s="14"/>
      <c r="O45" s="106"/>
      <c r="P45" s="142"/>
      <c r="Q45" s="134" t="n">
        <f aca="false">+O45</f>
        <v>0</v>
      </c>
      <c r="R45" s="135" t="n">
        <f aca="false">IF(Q45&gt;0,M45/Q45,0)</f>
        <v>0</v>
      </c>
      <c r="S45" s="110" t="n">
        <f aca="false">+P45</f>
        <v>0</v>
      </c>
      <c r="T45" s="136" t="n">
        <f aca="false">IF(S45&gt;0,M45/S45,0)</f>
        <v>0</v>
      </c>
      <c r="U45" s="143"/>
      <c r="V45" s="114"/>
      <c r="W45" s="114"/>
      <c r="X45" s="138"/>
      <c r="Y45" s="138"/>
      <c r="Z45" s="139" t="n">
        <f aca="false">IF(ISBLANK(Q45),"",IF(Q45&gt;0,(M45-V45)/Q45,0))</f>
        <v>0</v>
      </c>
      <c r="AA45" s="139" t="n">
        <f aca="false">IF(ISBLANK(S45),"",IF(W45&gt;0,(M45-W45)/S45,0))</f>
        <v>0</v>
      </c>
      <c r="AB45" s="140" t="n">
        <f aca="false">IF(S45&gt;0,IF(U45&gt;0,1-(Z45/U45),IF(U45&lt;&gt;0,1-(Z45+AA45)/U45)),0)</f>
        <v>0</v>
      </c>
    </row>
    <row r="46" customFormat="false" ht="12.75" hidden="false" customHeight="false" outlineLevel="0" collapsed="false">
      <c r="A46" s="128"/>
      <c r="B46" s="129" t="str">
        <f aca="false">IF(A46="","",VLOOKUP(A46,Equipe!A:B,2,FALSE()))</f>
        <v/>
      </c>
      <c r="C46" s="129" t="str">
        <f aca="false">IF(B46="","",VLOOKUP(A46,Equipe!A:C,3,FALSE()))</f>
        <v/>
      </c>
      <c r="D46" s="101"/>
      <c r="E46" s="130" t="e">
        <f aca="false">VLOOKUP(H46,Equipe!D:F,3,FALSE())</f>
        <v>#N/A</v>
      </c>
      <c r="F46" s="131" t="e">
        <f aca="false">CONCATENATE(H46," - ",E46," hrs")</f>
        <v>#N/A</v>
      </c>
      <c r="G46" s="101"/>
      <c r="H46" s="14"/>
      <c r="I46" s="101"/>
      <c r="J46" s="14"/>
      <c r="K46" s="14"/>
      <c r="L46" s="105"/>
      <c r="M46" s="105"/>
      <c r="N46" s="14"/>
      <c r="O46" s="106"/>
      <c r="P46" s="142"/>
      <c r="Q46" s="134" t="n">
        <f aca="false">+O46</f>
        <v>0</v>
      </c>
      <c r="R46" s="135" t="n">
        <f aca="false">IF(Q46&gt;0,M46/Q46,0)</f>
        <v>0</v>
      </c>
      <c r="S46" s="110" t="n">
        <f aca="false">+P46</f>
        <v>0</v>
      </c>
      <c r="T46" s="136" t="n">
        <f aca="false">IF(S46&gt;0,M46/S46,0)</f>
        <v>0</v>
      </c>
      <c r="U46" s="143"/>
      <c r="V46" s="114"/>
      <c r="W46" s="114"/>
      <c r="X46" s="138"/>
      <c r="Y46" s="138"/>
      <c r="Z46" s="139" t="n">
        <f aca="false">IF(ISBLANK(Q46),"",IF(Q46&gt;0,(M46-V46)/Q46,0))</f>
        <v>0</v>
      </c>
      <c r="AA46" s="139" t="n">
        <f aca="false">IF(ISBLANK(S46),"",IF(W46&gt;0,(M46-W46)/S46,0))</f>
        <v>0</v>
      </c>
      <c r="AB46" s="140" t="n">
        <f aca="false">IF(S46&gt;0,IF(U46&gt;0,1-(Z46/U46),IF(U46&lt;&gt;0,1-(Z46+AA46)/U46)),0)</f>
        <v>0</v>
      </c>
    </row>
    <row r="47" customFormat="false" ht="12.75" hidden="false" customHeight="false" outlineLevel="0" collapsed="false">
      <c r="A47" s="128"/>
      <c r="B47" s="129" t="str">
        <f aca="false">IF(A47="","",VLOOKUP(A47,Equipe!A:B,2,FALSE()))</f>
        <v/>
      </c>
      <c r="C47" s="129" t="str">
        <f aca="false">IF(B47="","",VLOOKUP(A47,Equipe!A:C,3,FALSE()))</f>
        <v/>
      </c>
      <c r="D47" s="101"/>
      <c r="E47" s="130" t="e">
        <f aca="false">VLOOKUP(H47,Equipe!D:F,3,FALSE())</f>
        <v>#N/A</v>
      </c>
      <c r="F47" s="131" t="e">
        <f aca="false">CONCATENATE(H47," - ",E47," hrs")</f>
        <v>#N/A</v>
      </c>
      <c r="G47" s="101"/>
      <c r="H47" s="14"/>
      <c r="I47" s="101"/>
      <c r="J47" s="14"/>
      <c r="K47" s="14"/>
      <c r="L47" s="105"/>
      <c r="M47" s="105"/>
      <c r="N47" s="14"/>
      <c r="O47" s="106"/>
      <c r="P47" s="142"/>
      <c r="Q47" s="134" t="n">
        <f aca="false">+O47</f>
        <v>0</v>
      </c>
      <c r="R47" s="135" t="n">
        <f aca="false">IF(Q47&gt;0,M47/Q47,0)</f>
        <v>0</v>
      </c>
      <c r="S47" s="110" t="n">
        <f aca="false">+P47</f>
        <v>0</v>
      </c>
      <c r="T47" s="136" t="n">
        <f aca="false">IF(S47&gt;0,M47/S47,0)</f>
        <v>0</v>
      </c>
      <c r="U47" s="143"/>
      <c r="V47" s="114"/>
      <c r="W47" s="114"/>
      <c r="X47" s="138"/>
      <c r="Y47" s="138"/>
      <c r="Z47" s="139" t="n">
        <f aca="false">IF(ISBLANK(Q47),"",IF(Q47&gt;0,(M47-V47)/Q47,0))</f>
        <v>0</v>
      </c>
      <c r="AA47" s="139" t="n">
        <f aca="false">IF(ISBLANK(S47),"",IF(W47&gt;0,(M47-W47)/S47,0))</f>
        <v>0</v>
      </c>
      <c r="AB47" s="140" t="n">
        <f aca="false">IF(S47&gt;0,IF(U47&gt;0,1-(Z47/U47),IF(U47&lt;&gt;0,1-(Z47+AA47)/U47)),0)</f>
        <v>0</v>
      </c>
    </row>
    <row r="48" customFormat="false" ht="12.75" hidden="false" customHeight="false" outlineLevel="0" collapsed="false">
      <c r="A48" s="128"/>
      <c r="B48" s="129" t="str">
        <f aca="false">IF(A48="","",VLOOKUP(A48,Equipe!A:B,2,FALSE()))</f>
        <v/>
      </c>
      <c r="C48" s="129" t="str">
        <f aca="false">IF(B48="","",VLOOKUP(A48,Equipe!A:C,3,FALSE()))</f>
        <v/>
      </c>
      <c r="D48" s="101"/>
      <c r="E48" s="130" t="e">
        <f aca="false">VLOOKUP(H48,Equipe!D:F,3,FALSE())</f>
        <v>#N/A</v>
      </c>
      <c r="F48" s="131" t="e">
        <f aca="false">CONCATENATE(H48," - ",E48," hrs")</f>
        <v>#N/A</v>
      </c>
      <c r="G48" s="101"/>
      <c r="H48" s="14"/>
      <c r="I48" s="101"/>
      <c r="J48" s="14"/>
      <c r="K48" s="14"/>
      <c r="L48" s="105"/>
      <c r="M48" s="105"/>
      <c r="N48" s="14"/>
      <c r="O48" s="106"/>
      <c r="P48" s="142"/>
      <c r="Q48" s="134" t="n">
        <f aca="false">+O48</f>
        <v>0</v>
      </c>
      <c r="R48" s="135" t="n">
        <f aca="false">IF(Q48&gt;0,M48/Q48,0)</f>
        <v>0</v>
      </c>
      <c r="S48" s="110" t="n">
        <f aca="false">+P48</f>
        <v>0</v>
      </c>
      <c r="T48" s="136" t="n">
        <f aca="false">IF(S48&gt;0,M48/S48,0)</f>
        <v>0</v>
      </c>
      <c r="U48" s="143"/>
      <c r="V48" s="114"/>
      <c r="W48" s="114"/>
      <c r="X48" s="138"/>
      <c r="Y48" s="138"/>
      <c r="Z48" s="139" t="n">
        <f aca="false">IF(ISBLANK(Q48),"",IF(Q48&gt;0,(M48-V48)/Q48,0))</f>
        <v>0</v>
      </c>
      <c r="AA48" s="139" t="n">
        <f aca="false">IF(ISBLANK(S48),"",IF(W48&gt;0,(M48-W48)/S48,0))</f>
        <v>0</v>
      </c>
      <c r="AB48" s="140" t="n">
        <f aca="false">IF(S48&gt;0,IF(U48&gt;0,1-(Z48/U48),IF(U48&lt;&gt;0,1-(Z48+AA48)/U48)),0)</f>
        <v>0</v>
      </c>
    </row>
    <row r="49" customFormat="false" ht="12.75" hidden="false" customHeight="false" outlineLevel="0" collapsed="false">
      <c r="A49" s="128"/>
      <c r="B49" s="129" t="str">
        <f aca="false">IF(A49="","",VLOOKUP(A49,Equipe!A:B,2,FALSE()))</f>
        <v/>
      </c>
      <c r="C49" s="129" t="str">
        <f aca="false">IF(B49="","",VLOOKUP(A49,Equipe!A:C,3,FALSE()))</f>
        <v/>
      </c>
      <c r="D49" s="101"/>
      <c r="E49" s="130" t="e">
        <f aca="false">VLOOKUP(H49,Equipe!D:F,3,FALSE())</f>
        <v>#N/A</v>
      </c>
      <c r="F49" s="131" t="e">
        <f aca="false">CONCATENATE(H49," - ",E49," hrs")</f>
        <v>#N/A</v>
      </c>
      <c r="G49" s="101"/>
      <c r="H49" s="14"/>
      <c r="I49" s="101"/>
      <c r="J49" s="14"/>
      <c r="K49" s="14"/>
      <c r="L49" s="105"/>
      <c r="M49" s="105"/>
      <c r="N49" s="14"/>
      <c r="O49" s="106"/>
      <c r="P49" s="142"/>
      <c r="Q49" s="134" t="n">
        <f aca="false">+O49</f>
        <v>0</v>
      </c>
      <c r="R49" s="135" t="n">
        <f aca="false">IF(Q49&gt;0,M49/Q49,0)</f>
        <v>0</v>
      </c>
      <c r="S49" s="110" t="n">
        <f aca="false">+P49</f>
        <v>0</v>
      </c>
      <c r="T49" s="136" t="n">
        <f aca="false">IF(S49&gt;0,M49/S49,0)</f>
        <v>0</v>
      </c>
      <c r="U49" s="143"/>
      <c r="V49" s="114"/>
      <c r="W49" s="114"/>
      <c r="X49" s="138"/>
      <c r="Y49" s="138"/>
      <c r="Z49" s="139" t="n">
        <f aca="false">IF(ISBLANK(Q49),"",IF(Q49&gt;0,(M49-V49)/Q49,0))</f>
        <v>0</v>
      </c>
      <c r="AA49" s="139" t="n">
        <f aca="false">IF(ISBLANK(S49),"",IF(W49&gt;0,(M49-W49)/S49,0))</f>
        <v>0</v>
      </c>
      <c r="AB49" s="140" t="n">
        <f aca="false">IF(S49&gt;0,IF(U49&gt;0,1-(Z49/U49),IF(U49&lt;&gt;0,1-(Z49+AA49)/U49)),0)</f>
        <v>0</v>
      </c>
    </row>
    <row r="50" customFormat="false" ht="12.75" hidden="false" customHeight="false" outlineLevel="0" collapsed="false">
      <c r="A50" s="128"/>
      <c r="B50" s="129" t="str">
        <f aca="false">IF(A50="","",VLOOKUP(A50,Equipe!A:B,2,FALSE()))</f>
        <v/>
      </c>
      <c r="C50" s="129" t="str">
        <f aca="false">IF(B50="","",VLOOKUP(A50,Equipe!A:C,3,FALSE()))</f>
        <v/>
      </c>
      <c r="D50" s="101"/>
      <c r="E50" s="130" t="e">
        <f aca="false">VLOOKUP(H50,Equipe!D:F,3,FALSE())</f>
        <v>#N/A</v>
      </c>
      <c r="F50" s="131" t="e">
        <f aca="false">CONCATENATE(H50," - ",E50," hrs")</f>
        <v>#N/A</v>
      </c>
      <c r="G50" s="101"/>
      <c r="H50" s="14"/>
      <c r="I50" s="101"/>
      <c r="J50" s="14"/>
      <c r="K50" s="14"/>
      <c r="L50" s="105"/>
      <c r="M50" s="105"/>
      <c r="N50" s="14"/>
      <c r="O50" s="106"/>
      <c r="P50" s="142"/>
      <c r="Q50" s="134" t="n">
        <f aca="false">+O50</f>
        <v>0</v>
      </c>
      <c r="R50" s="135" t="n">
        <f aca="false">IF(Q50&gt;0,M50/Q50,0)</f>
        <v>0</v>
      </c>
      <c r="S50" s="110" t="n">
        <f aca="false">+P50</f>
        <v>0</v>
      </c>
      <c r="T50" s="136" t="n">
        <f aca="false">IF(S50&gt;0,M50/S50,0)</f>
        <v>0</v>
      </c>
      <c r="U50" s="143"/>
      <c r="V50" s="114"/>
      <c r="W50" s="114"/>
      <c r="X50" s="138"/>
      <c r="Y50" s="138"/>
      <c r="Z50" s="139" t="n">
        <f aca="false">IF(ISBLANK(Q50),"",IF(Q50&gt;0,(M50-V50)/Q50,0))</f>
        <v>0</v>
      </c>
      <c r="AA50" s="139" t="n">
        <f aca="false">IF(ISBLANK(S50),"",IF(W50&gt;0,(M50-W50)/S50,0))</f>
        <v>0</v>
      </c>
      <c r="AB50" s="140" t="n">
        <f aca="false">IF(S50&gt;0,IF(U50&gt;0,1-(Z50/U50),IF(U50&lt;&gt;0,1-(Z50+AA50)/U50)),0)</f>
        <v>0</v>
      </c>
    </row>
    <row r="51" customFormat="false" ht="12.75" hidden="false" customHeight="false" outlineLevel="0" collapsed="false">
      <c r="A51" s="128"/>
      <c r="B51" s="129" t="str">
        <f aca="false">IF(A51="","",VLOOKUP(A51,Equipe!A:B,2,FALSE()))</f>
        <v/>
      </c>
      <c r="C51" s="129" t="str">
        <f aca="false">IF(B51="","",VLOOKUP(A51,Equipe!A:C,3,FALSE()))</f>
        <v/>
      </c>
      <c r="D51" s="101"/>
      <c r="E51" s="130" t="e">
        <f aca="false">VLOOKUP(H51,Equipe!D:F,3,FALSE())</f>
        <v>#N/A</v>
      </c>
      <c r="F51" s="131" t="e">
        <f aca="false">CONCATENATE(H51," - ",E51," hrs")</f>
        <v>#N/A</v>
      </c>
      <c r="G51" s="101"/>
      <c r="H51" s="14"/>
      <c r="I51" s="101"/>
      <c r="J51" s="14"/>
      <c r="K51" s="14"/>
      <c r="L51" s="105"/>
      <c r="M51" s="105"/>
      <c r="N51" s="14"/>
      <c r="O51" s="106"/>
      <c r="P51" s="142"/>
      <c r="Q51" s="134" t="n">
        <f aca="false">+O51</f>
        <v>0</v>
      </c>
      <c r="R51" s="135" t="n">
        <f aca="false">IF(Q51&gt;0,M51/Q51,0)</f>
        <v>0</v>
      </c>
      <c r="S51" s="110" t="n">
        <f aca="false">+P51</f>
        <v>0</v>
      </c>
      <c r="T51" s="136" t="n">
        <f aca="false">IF(S51&gt;0,M51/S51,0)</f>
        <v>0</v>
      </c>
      <c r="U51" s="143"/>
      <c r="V51" s="114"/>
      <c r="W51" s="114"/>
      <c r="X51" s="138"/>
      <c r="Y51" s="138"/>
      <c r="Z51" s="139" t="n">
        <f aca="false">IF(ISBLANK(Q51),"",IF(Q51&gt;0,(M51-V51)/Q51,0))</f>
        <v>0</v>
      </c>
      <c r="AA51" s="139" t="n">
        <f aca="false">IF(ISBLANK(S51),"",IF(W51&gt;0,(M51-W51)/S51,0))</f>
        <v>0</v>
      </c>
      <c r="AB51" s="140" t="n">
        <f aca="false">IF(S51&gt;0,IF(U51&gt;0,1-(Z51/U51),IF(U51&lt;&gt;0,1-(Z51+AA51)/U51)),0)</f>
        <v>0</v>
      </c>
    </row>
    <row r="52" customFormat="false" ht="12.75" hidden="false" customHeight="false" outlineLevel="0" collapsed="false">
      <c r="A52" s="128"/>
      <c r="B52" s="129" t="str">
        <f aca="false">IF(A52="","",VLOOKUP(A52,Equipe!A:B,2,FALSE()))</f>
        <v/>
      </c>
      <c r="C52" s="129" t="str">
        <f aca="false">IF(B52="","",VLOOKUP(A52,Equipe!A:C,3,FALSE()))</f>
        <v/>
      </c>
      <c r="D52" s="101"/>
      <c r="E52" s="130" t="e">
        <f aca="false">VLOOKUP(H52,Equipe!D:F,3,FALSE())</f>
        <v>#N/A</v>
      </c>
      <c r="F52" s="131" t="e">
        <f aca="false">CONCATENATE(H52," - ",E52," hrs")</f>
        <v>#N/A</v>
      </c>
      <c r="G52" s="101"/>
      <c r="H52" s="14"/>
      <c r="I52" s="101"/>
      <c r="J52" s="14"/>
      <c r="K52" s="14"/>
      <c r="L52" s="105"/>
      <c r="M52" s="105"/>
      <c r="N52" s="14"/>
      <c r="O52" s="106"/>
      <c r="P52" s="142"/>
      <c r="Q52" s="134" t="n">
        <f aca="false">+O52</f>
        <v>0</v>
      </c>
      <c r="R52" s="135" t="n">
        <f aca="false">IF(Q52&gt;0,M52/Q52,0)</f>
        <v>0</v>
      </c>
      <c r="S52" s="110" t="n">
        <f aca="false">+P52</f>
        <v>0</v>
      </c>
      <c r="T52" s="136" t="n">
        <f aca="false">IF(S52&gt;0,M52/S52,0)</f>
        <v>0</v>
      </c>
      <c r="U52" s="143"/>
      <c r="V52" s="114"/>
      <c r="W52" s="114"/>
      <c r="X52" s="138"/>
      <c r="Y52" s="138"/>
      <c r="Z52" s="139" t="n">
        <f aca="false">IF(ISBLANK(Q52),"",IF(Q52&gt;0,(M52-V52)/Q52,0))</f>
        <v>0</v>
      </c>
      <c r="AA52" s="139" t="n">
        <f aca="false">IF(ISBLANK(S52),"",IF(W52&gt;0,(M52-W52)/S52,0))</f>
        <v>0</v>
      </c>
      <c r="AB52" s="140" t="n">
        <f aca="false">IF(S52&gt;0,IF(U52&gt;0,1-(Z52/U52),IF(U52&lt;&gt;0,1-(Z52+AA52)/U52)),0)</f>
        <v>0</v>
      </c>
    </row>
    <row r="53" customFormat="false" ht="12.75" hidden="false" customHeight="false" outlineLevel="0" collapsed="false">
      <c r="A53" s="128"/>
      <c r="B53" s="129" t="str">
        <f aca="false">IF(A53="","",VLOOKUP(A53,Equipe!A:B,2,FALSE()))</f>
        <v/>
      </c>
      <c r="C53" s="129" t="str">
        <f aca="false">IF(B53="","",VLOOKUP(A53,Equipe!A:C,3,FALSE()))</f>
        <v/>
      </c>
      <c r="D53" s="101"/>
      <c r="E53" s="130" t="e">
        <f aca="false">VLOOKUP(H53,Equipe!D:F,3,FALSE())</f>
        <v>#N/A</v>
      </c>
      <c r="F53" s="131" t="e">
        <f aca="false">CONCATENATE(H53," - ",E53," hrs")</f>
        <v>#N/A</v>
      </c>
      <c r="G53" s="101"/>
      <c r="H53" s="14"/>
      <c r="I53" s="101"/>
      <c r="J53" s="14"/>
      <c r="K53" s="14"/>
      <c r="L53" s="105"/>
      <c r="M53" s="105"/>
      <c r="N53" s="14"/>
      <c r="O53" s="106"/>
      <c r="P53" s="142"/>
      <c r="Q53" s="134" t="n">
        <f aca="false">+O53</f>
        <v>0</v>
      </c>
      <c r="R53" s="135" t="n">
        <f aca="false">IF(Q53&gt;0,M53/Q53,0)</f>
        <v>0</v>
      </c>
      <c r="S53" s="110" t="n">
        <f aca="false">+P53</f>
        <v>0</v>
      </c>
      <c r="T53" s="136" t="n">
        <f aca="false">IF(S53&gt;0,M53/S53,0)</f>
        <v>0</v>
      </c>
      <c r="U53" s="143"/>
      <c r="V53" s="114"/>
      <c r="W53" s="114"/>
      <c r="X53" s="138"/>
      <c r="Y53" s="138"/>
      <c r="Z53" s="139" t="n">
        <f aca="false">IF(ISBLANK(Q53),"",IF(Q53&gt;0,(M53-V53)/Q53,0))</f>
        <v>0</v>
      </c>
      <c r="AA53" s="139" t="n">
        <f aca="false">IF(ISBLANK(S53),"",IF(W53&gt;0,(M53-W53)/S53,0))</f>
        <v>0</v>
      </c>
      <c r="AB53" s="140" t="n">
        <f aca="false">IF(S53&gt;0,IF(U53&gt;0,1-(Z53/U53),IF(U53&lt;&gt;0,1-(Z53+AA53)/U53)),0)</f>
        <v>0</v>
      </c>
    </row>
    <row r="54" customFormat="false" ht="12.75" hidden="false" customHeight="false" outlineLevel="0" collapsed="false">
      <c r="A54" s="128"/>
      <c r="B54" s="129" t="str">
        <f aca="false">IF(A54="","",VLOOKUP(A54,Equipe!A:B,2,FALSE()))</f>
        <v/>
      </c>
      <c r="C54" s="129" t="str">
        <f aca="false">IF(B54="","",VLOOKUP(A54,Equipe!A:C,3,FALSE()))</f>
        <v/>
      </c>
      <c r="D54" s="101"/>
      <c r="E54" s="130" t="e">
        <f aca="false">VLOOKUP(H54,Equipe!D:F,3,FALSE())</f>
        <v>#N/A</v>
      </c>
      <c r="F54" s="131" t="e">
        <f aca="false">CONCATENATE(H54," - ",E54," hrs")</f>
        <v>#N/A</v>
      </c>
      <c r="G54" s="101"/>
      <c r="H54" s="14"/>
      <c r="I54" s="101"/>
      <c r="J54" s="14"/>
      <c r="K54" s="14"/>
      <c r="L54" s="105"/>
      <c r="M54" s="105"/>
      <c r="N54" s="14"/>
      <c r="O54" s="106"/>
      <c r="P54" s="142"/>
      <c r="Q54" s="134" t="n">
        <f aca="false">+O54</f>
        <v>0</v>
      </c>
      <c r="R54" s="135" t="n">
        <f aca="false">IF(Q54&gt;0,M54/Q54,0)</f>
        <v>0</v>
      </c>
      <c r="S54" s="110" t="n">
        <f aca="false">+P54</f>
        <v>0</v>
      </c>
      <c r="T54" s="136" t="n">
        <f aca="false">IF(S54&gt;0,M54/S54,0)</f>
        <v>0</v>
      </c>
      <c r="U54" s="143"/>
      <c r="V54" s="114"/>
      <c r="W54" s="114"/>
      <c r="X54" s="138"/>
      <c r="Y54" s="138"/>
      <c r="Z54" s="139" t="n">
        <f aca="false">IF(ISBLANK(Q54),"",IF(Q54&gt;0,(M54-V54)/Q54,0))</f>
        <v>0</v>
      </c>
      <c r="AA54" s="139" t="n">
        <f aca="false">IF(ISBLANK(S54),"",IF(W54&gt;0,(M54-W54)/S54,0))</f>
        <v>0</v>
      </c>
      <c r="AB54" s="140" t="n">
        <f aca="false">IF(S54&gt;0,IF(U54&gt;0,1-(Z54/U54),IF(U54&lt;&gt;0,1-(Z54+AA54)/U54)),0)</f>
        <v>0</v>
      </c>
    </row>
    <row r="55" customFormat="false" ht="12.75" hidden="false" customHeight="false" outlineLevel="0" collapsed="false">
      <c r="A55" s="128"/>
      <c r="B55" s="129" t="str">
        <f aca="false">IF(A55="","",VLOOKUP(A55,Equipe!A:B,2,FALSE()))</f>
        <v/>
      </c>
      <c r="C55" s="129" t="str">
        <f aca="false">IF(B55="","",VLOOKUP(A55,Equipe!A:C,3,FALSE()))</f>
        <v/>
      </c>
      <c r="D55" s="101"/>
      <c r="E55" s="130" t="e">
        <f aca="false">VLOOKUP(H55,Equipe!D:F,3,FALSE())</f>
        <v>#N/A</v>
      </c>
      <c r="F55" s="131" t="e">
        <f aca="false">CONCATENATE(H55," - ",E55," hrs")</f>
        <v>#N/A</v>
      </c>
      <c r="G55" s="101"/>
      <c r="H55" s="101"/>
      <c r="I55" s="101"/>
      <c r="J55" s="101"/>
      <c r="K55" s="101"/>
      <c r="L55" s="101"/>
      <c r="M55" s="101"/>
      <c r="N55" s="14"/>
      <c r="O55" s="142"/>
      <c r="P55" s="142"/>
      <c r="Q55" s="134" t="n">
        <f aca="false">+O55</f>
        <v>0</v>
      </c>
      <c r="R55" s="135" t="n">
        <f aca="false">IF(Q55&gt;0,M55/Q55,0)</f>
        <v>0</v>
      </c>
      <c r="S55" s="110" t="n">
        <f aca="false">+P55</f>
        <v>0</v>
      </c>
      <c r="T55" s="136" t="n">
        <f aca="false">IF(S55&gt;0,M55/S55,0)</f>
        <v>0</v>
      </c>
      <c r="U55" s="143"/>
      <c r="V55" s="114"/>
      <c r="W55" s="114"/>
      <c r="X55" s="138"/>
      <c r="Y55" s="138"/>
      <c r="Z55" s="139" t="n">
        <f aca="false">IF(ISBLANK(Q55),"",IF(Q55&gt;0,(M55-V55)/Q55,0))</f>
        <v>0</v>
      </c>
      <c r="AA55" s="139" t="n">
        <f aca="false">IF(ISBLANK(S55),"",IF(W55&gt;0,(M55-W55)/S55,0))</f>
        <v>0</v>
      </c>
      <c r="AB55" s="140" t="n">
        <f aca="false">IF(S55&gt;0,IF(U55&gt;0,1-(Z55/U55),IF(U55&lt;&gt;0,1-(Z55+AA55)/U55)),0)</f>
        <v>0</v>
      </c>
    </row>
    <row r="56" customFormat="false" ht="12.75" hidden="false" customHeight="false" outlineLevel="0" collapsed="false">
      <c r="A56" s="128"/>
      <c r="B56" s="129" t="str">
        <f aca="false">IF(A56="","",VLOOKUP(A56,Equipe!A:B,2,FALSE()))</f>
        <v/>
      </c>
      <c r="C56" s="129" t="str">
        <f aca="false">IF(B56="","",VLOOKUP(A56,Equipe!A:C,3,FALSE()))</f>
        <v/>
      </c>
      <c r="D56" s="101"/>
      <c r="E56" s="130" t="e">
        <f aca="false">VLOOKUP(H56,Equipe!D:F,3,FALSE())</f>
        <v>#N/A</v>
      </c>
      <c r="F56" s="131" t="e">
        <f aca="false">CONCATENATE(H56," - ",E56," hrs")</f>
        <v>#N/A</v>
      </c>
      <c r="G56" s="101"/>
      <c r="H56" s="101"/>
      <c r="I56" s="101"/>
      <c r="J56" s="101"/>
      <c r="K56" s="101"/>
      <c r="L56" s="101"/>
      <c r="M56" s="101"/>
      <c r="N56" s="14"/>
      <c r="O56" s="142"/>
      <c r="P56" s="142"/>
      <c r="Q56" s="134" t="n">
        <f aca="false">+O56</f>
        <v>0</v>
      </c>
      <c r="R56" s="135" t="n">
        <f aca="false">IF(Q56&gt;0,M56/Q56,0)</f>
        <v>0</v>
      </c>
      <c r="S56" s="110" t="n">
        <f aca="false">+P56</f>
        <v>0</v>
      </c>
      <c r="T56" s="136" t="n">
        <f aca="false">IF(S56&gt;0,M56/S56,0)</f>
        <v>0</v>
      </c>
      <c r="U56" s="143"/>
      <c r="V56" s="114"/>
      <c r="W56" s="114"/>
      <c r="X56" s="138"/>
      <c r="Y56" s="138"/>
      <c r="Z56" s="139" t="n">
        <f aca="false">IF(ISBLANK(Q56),"",IF(Q56&gt;0,(M56-V56)/Q56,0))</f>
        <v>0</v>
      </c>
      <c r="AA56" s="139" t="n">
        <f aca="false">IF(ISBLANK(S56),"",IF(W56&gt;0,(M56-W56)/S56,0))</f>
        <v>0</v>
      </c>
      <c r="AB56" s="140" t="n">
        <f aca="false">IF(S56&gt;0,IF(U56&gt;0,1-(Z56/U56),IF(U56&lt;&gt;0,1-(Z56+AA56)/U56)),0)</f>
        <v>0</v>
      </c>
    </row>
    <row r="57" customFormat="false" ht="12.75" hidden="false" customHeight="false" outlineLevel="0" collapsed="false">
      <c r="A57" s="128"/>
      <c r="B57" s="132" t="str">
        <f aca="false">IF(A57="","",VLOOKUP(A57,Equipe!A:B,2,FALSE()))</f>
        <v/>
      </c>
      <c r="C57" s="129" t="str">
        <f aca="false">IF(B57="","",VLOOKUP(A57,Equipe!A:C,3,FALSE()))</f>
        <v/>
      </c>
      <c r="D57" s="101"/>
      <c r="E57" s="130" t="e">
        <f aca="false">VLOOKUP(H57,Equipe!D:F,3,FALSE())</f>
        <v>#N/A</v>
      </c>
      <c r="F57" s="131" t="e">
        <f aca="false">CONCATENATE(H57," - ",E57," hrs")</f>
        <v>#N/A</v>
      </c>
      <c r="G57" s="101"/>
      <c r="H57" s="101"/>
      <c r="I57" s="101"/>
      <c r="J57" s="101"/>
      <c r="K57" s="101"/>
      <c r="L57" s="101"/>
      <c r="M57" s="101"/>
      <c r="N57" s="14"/>
      <c r="O57" s="142"/>
      <c r="P57" s="142"/>
      <c r="Q57" s="134" t="n">
        <f aca="false">+O57</f>
        <v>0</v>
      </c>
      <c r="R57" s="135" t="n">
        <f aca="false">IF(Q57&gt;0,M57/Q57,0)</f>
        <v>0</v>
      </c>
      <c r="S57" s="110" t="n">
        <f aca="false">+P57</f>
        <v>0</v>
      </c>
      <c r="T57" s="136" t="n">
        <f aca="false">IF(S57&gt;0,M57/S57,0)</f>
        <v>0</v>
      </c>
      <c r="U57" s="143"/>
      <c r="V57" s="114"/>
      <c r="W57" s="114"/>
      <c r="X57" s="138"/>
      <c r="Y57" s="138"/>
      <c r="Z57" s="139" t="n">
        <f aca="false">IF(ISBLANK(Q57),"",IF(Q57&gt;0,(M57-V57)/Q57,0))</f>
        <v>0</v>
      </c>
      <c r="AA57" s="139" t="n">
        <f aca="false">IF(ISBLANK(S57),"",IF(W57&gt;0,(M57-W57)/S57,0))</f>
        <v>0</v>
      </c>
      <c r="AB57" s="140" t="n">
        <f aca="false">IF(S57&gt;0,IF(U57&gt;0,1-(Z57/U57),IF(U57&lt;&gt;0,1-(Z57+AA57)/U57)),0)</f>
        <v>0</v>
      </c>
    </row>
    <row r="58" customFormat="false" ht="12.75" hidden="false" customHeight="false" outlineLevel="0" collapsed="false">
      <c r="A58" s="128"/>
      <c r="B58" s="144" t="str">
        <f aca="false">IF(A58="","",VLOOKUP(A58,Equipe!A:B,2,FALSE()))</f>
        <v/>
      </c>
      <c r="C58" s="144" t="str">
        <f aca="false">IF(A58="","",VLOOKUP(A58,Equipe!A:C,3,FALSE()))</f>
        <v/>
      </c>
      <c r="D58" s="145"/>
      <c r="E58" s="145"/>
      <c r="F58" s="145"/>
      <c r="G58" s="145"/>
      <c r="I58" s="145"/>
      <c r="N58" s="14"/>
      <c r="P58" s="146"/>
      <c r="Q58" s="144"/>
      <c r="R58" s="144"/>
      <c r="S58" s="144"/>
      <c r="T58" s="144"/>
      <c r="U58" s="145"/>
      <c r="V58" s="145"/>
      <c r="W58" s="145"/>
      <c r="X58" s="145"/>
      <c r="Y58" s="145"/>
      <c r="Z58" s="147"/>
      <c r="AA58" s="145"/>
      <c r="AB58" s="145"/>
    </row>
    <row r="59" customFormat="false" ht="12.75" hidden="false" customHeight="false" outlineLevel="0" collapsed="false">
      <c r="A59" s="128"/>
      <c r="B59" s="66" t="str">
        <f aca="false">IF(A59="","",VLOOKUP(A59,Equipe!A:B,2,FALSE()))</f>
        <v/>
      </c>
      <c r="C59" s="66" t="str">
        <f aca="false">IF(A59="","",VLOOKUP(A59,Equipe!A:C,3,FALSE()))</f>
        <v/>
      </c>
    </row>
    <row r="60" customFormat="false" ht="12.75" hidden="false" customHeight="false" outlineLevel="0" collapsed="false">
      <c r="A60" s="128"/>
      <c r="B60" s="66" t="str">
        <f aca="false">IF(A60="","",VLOOKUP(A60,Equipe!A:B,2,FALSE()))</f>
        <v/>
      </c>
      <c r="C60" s="66" t="str">
        <f aca="false">IF(A60="","",VLOOKUP(A60,Equipe!A:C,3,FALSE()))</f>
        <v/>
      </c>
    </row>
    <row r="61" customFormat="false" ht="12.75" hidden="false" customHeight="false" outlineLevel="0" collapsed="false">
      <c r="A61" s="128"/>
      <c r="B61" s="66" t="str">
        <f aca="false">IF(A61="","",VLOOKUP(A61,Equipe!A:B,2,FALSE()))</f>
        <v/>
      </c>
      <c r="C61" s="66" t="str">
        <f aca="false">IF(A61="","",VLOOKUP(A61,Equipe!A:C,3,FALSE()))</f>
        <v/>
      </c>
    </row>
    <row r="62" customFormat="false" ht="12.75" hidden="false" customHeight="false" outlineLevel="0" collapsed="false">
      <c r="A62" s="128"/>
      <c r="B62" s="66" t="str">
        <f aca="false">IF(A62="","",VLOOKUP(A62,Equipe!A:B,2,FALSE()))</f>
        <v/>
      </c>
      <c r="C62" s="66" t="str">
        <f aca="false">IF(A62="","",VLOOKUP(A62,Equipe!A:C,3,FALSE()))</f>
        <v/>
      </c>
    </row>
    <row r="63" customFormat="false" ht="12.75" hidden="false" customHeight="false" outlineLevel="0" collapsed="false">
      <c r="A63" s="128"/>
      <c r="B63" s="66" t="str">
        <f aca="false">IF(A63="","",VLOOKUP(A63,Equipe!A:B,2,FALSE()))</f>
        <v/>
      </c>
      <c r="C63" s="66" t="str">
        <f aca="false">IF(A63="","",VLOOKUP(A63,Equipe!A:C,3,FALSE()))</f>
        <v/>
      </c>
    </row>
    <row r="64" customFormat="false" ht="12.75" hidden="false" customHeight="false" outlineLevel="0" collapsed="false">
      <c r="A64" s="128"/>
      <c r="B64" s="66" t="str">
        <f aca="false">IF(A64="","",VLOOKUP(A64,Equipe!A:B,2,FALSE()))</f>
        <v/>
      </c>
      <c r="C64" s="66" t="str">
        <f aca="false">IF(A64="","",VLOOKUP(A64,Equipe!A:C,3,FALSE()))</f>
        <v/>
      </c>
    </row>
    <row r="65" customFormat="false" ht="12.75" hidden="false" customHeight="false" outlineLevel="0" collapsed="false">
      <c r="A65" s="128"/>
      <c r="B65" s="66" t="str">
        <f aca="false">IF(A65="","",VLOOKUP(A65,Equipe!A:B,2,FALSE()))</f>
        <v/>
      </c>
      <c r="C65" s="66" t="str">
        <f aca="false">IF(A65="","",VLOOKUP(A65,Equipe!A:C,3,FALSE()))</f>
        <v/>
      </c>
    </row>
    <row r="66" customFormat="false" ht="12.75" hidden="false" customHeight="false" outlineLevel="0" collapsed="false">
      <c r="A66" s="128"/>
      <c r="B66" s="66" t="str">
        <f aca="false">IF(A66="","",VLOOKUP(A66,Equipe!A:B,2,FALSE()))</f>
        <v/>
      </c>
      <c r="C66" s="66" t="str">
        <f aca="false">IF(A66="","",VLOOKUP(A66,Equipe!A:C,3,FALSE()))</f>
        <v/>
      </c>
    </row>
    <row r="67" customFormat="false" ht="12.75" hidden="false" customHeight="false" outlineLevel="0" collapsed="false">
      <c r="A67" s="128"/>
      <c r="B67" s="66" t="str">
        <f aca="false">IF(A67="","",VLOOKUP(A67,Equipe!A:B,2,FALSE()))</f>
        <v/>
      </c>
      <c r="C67" s="66" t="str">
        <f aca="false">IF(A67="","",VLOOKUP(A67,Equipe!A:C,3,FALSE()))</f>
        <v/>
      </c>
    </row>
    <row r="68" customFormat="false" ht="12.75" hidden="false" customHeight="false" outlineLevel="0" collapsed="false">
      <c r="A68" s="128"/>
      <c r="B68" s="66" t="str">
        <f aca="false">IF(A68="","",VLOOKUP(A68,Equipe!A:B,2,FALSE()))</f>
        <v/>
      </c>
      <c r="C68" s="66" t="str">
        <f aca="false">IF(A68="","",VLOOKUP(A68,Equipe!A:C,3,FALSE()))</f>
        <v/>
      </c>
    </row>
    <row r="69" customFormat="false" ht="12.75" hidden="false" customHeight="false" outlineLevel="0" collapsed="false">
      <c r="A69" s="128"/>
      <c r="B69" s="66" t="str">
        <f aca="false">IF(A69="","",VLOOKUP(A69,Equipe!A:B,2,FALSE()))</f>
        <v/>
      </c>
      <c r="C69" s="66" t="str">
        <f aca="false">IF(A69="","",VLOOKUP(A69,Equipe!A:C,3,FALSE()))</f>
        <v/>
      </c>
    </row>
    <row r="70" customFormat="false" ht="12.75" hidden="false" customHeight="false" outlineLevel="0" collapsed="false">
      <c r="A70" s="128"/>
      <c r="B70" s="66" t="str">
        <f aca="false">IF(A70="","",VLOOKUP(A70,Equipe!A:B,2,FALSE()))</f>
        <v/>
      </c>
      <c r="C70" s="66" t="str">
        <f aca="false">IF(A70="","",VLOOKUP(A70,Equipe!A:C,3,FALSE()))</f>
        <v/>
      </c>
    </row>
    <row r="71" customFormat="false" ht="12.75" hidden="false" customHeight="false" outlineLevel="0" collapsed="false">
      <c r="A71" s="128"/>
      <c r="B71" s="66" t="str">
        <f aca="false">IF(A71="","",VLOOKUP(A71,Equipe!A:B,2,FALSE()))</f>
        <v/>
      </c>
      <c r="C71" s="66" t="str">
        <f aca="false">IF(A71="","",VLOOKUP(A71,Equipe!A:C,3,FALSE()))</f>
        <v/>
      </c>
    </row>
    <row r="72" customFormat="false" ht="12.75" hidden="false" customHeight="false" outlineLevel="0" collapsed="false">
      <c r="A72" s="128"/>
      <c r="B72" s="66" t="str">
        <f aca="false">IF(A72="","",VLOOKUP(A72,Equipe!A:B,2,FALSE()))</f>
        <v/>
      </c>
      <c r="C72" s="66" t="str">
        <f aca="false">IF(A72="","",VLOOKUP(A72,Equipe!A:C,3,FALSE()))</f>
        <v/>
      </c>
    </row>
    <row r="73" customFormat="false" ht="12.75" hidden="false" customHeight="false" outlineLevel="0" collapsed="false">
      <c r="A73" s="128"/>
      <c r="B73" s="66" t="str">
        <f aca="false">IF(A73="","",VLOOKUP(A73,Equipe!A:B,2,FALSE()))</f>
        <v/>
      </c>
      <c r="C73" s="66" t="str">
        <f aca="false">IF(A73="","",VLOOKUP(A73,Equipe!A:C,3,FALSE()))</f>
        <v/>
      </c>
    </row>
    <row r="74" customFormat="false" ht="12.75" hidden="false" customHeight="false" outlineLevel="0" collapsed="false">
      <c r="A74" s="128"/>
      <c r="B74" s="66" t="str">
        <f aca="false">IF(A74="","",VLOOKUP(A74,Equipe!A:B,2,FALSE()))</f>
        <v/>
      </c>
      <c r="C74" s="66" t="str">
        <f aca="false">IF(A74="","",VLOOKUP(A74,Equipe!A:C,3,FALSE()))</f>
        <v/>
      </c>
    </row>
    <row r="75" customFormat="false" ht="12.75" hidden="false" customHeight="false" outlineLevel="0" collapsed="false">
      <c r="A75" s="128"/>
      <c r="B75" s="66" t="str">
        <f aca="false">IF(A75="","",VLOOKUP(A75,Equipe!A:B,2,FALSE()))</f>
        <v/>
      </c>
      <c r="C75" s="66" t="str">
        <f aca="false">IF(A75="","",VLOOKUP(A75,Equipe!A:C,3,FALSE()))</f>
        <v/>
      </c>
    </row>
    <row r="76" customFormat="false" ht="12.75" hidden="false" customHeight="false" outlineLevel="0" collapsed="false">
      <c r="A76" s="128"/>
      <c r="B76" s="66" t="str">
        <f aca="false">IF(A76="","",VLOOKUP(A76,Equipe!A:B,2,FALSE()))</f>
        <v/>
      </c>
      <c r="C76" s="66" t="str">
        <f aca="false">IF(A76="","",VLOOKUP(A76,Equipe!A:C,3,FALSE()))</f>
        <v/>
      </c>
    </row>
    <row r="77" customFormat="false" ht="12.75" hidden="false" customHeight="false" outlineLevel="0" collapsed="false">
      <c r="A77" s="128"/>
      <c r="B77" s="66" t="str">
        <f aca="false">IF(A77="","",VLOOKUP(A77,Equipe!A:B,2,FALSE()))</f>
        <v/>
      </c>
      <c r="C77" s="66" t="str">
        <f aca="false">IF(A77="","",VLOOKUP(A77,Equipe!A:C,3,FALSE()))</f>
        <v/>
      </c>
    </row>
    <row r="78" customFormat="false" ht="12.75" hidden="false" customHeight="false" outlineLevel="0" collapsed="false">
      <c r="A78" s="128"/>
      <c r="B78" s="66" t="str">
        <f aca="false">IF(A78="","",VLOOKUP(A78,Equipe!A:B,2,FALSE()))</f>
        <v/>
      </c>
      <c r="C78" s="66" t="str">
        <f aca="false">IF(A78="","",VLOOKUP(A78,Equipe!A:C,3,FALSE()))</f>
        <v/>
      </c>
    </row>
    <row r="79" customFormat="false" ht="12.75" hidden="false" customHeight="false" outlineLevel="0" collapsed="false">
      <c r="A79" s="128"/>
      <c r="B79" s="66" t="str">
        <f aca="false">IF(A79="","",VLOOKUP(A79,Equipe!A:B,2,FALSE()))</f>
        <v/>
      </c>
      <c r="C79" s="66" t="str">
        <f aca="false">IF(A79="","",VLOOKUP(A79,Equipe!A:C,3,FALSE()))</f>
        <v/>
      </c>
    </row>
    <row r="80" customFormat="false" ht="12.75" hidden="false" customHeight="false" outlineLevel="0" collapsed="false">
      <c r="A80" s="128"/>
      <c r="B80" s="66" t="str">
        <f aca="false">IF(A80="","",VLOOKUP(A80,Equipe!A:B,2,FALSE()))</f>
        <v/>
      </c>
      <c r="C80" s="66" t="str">
        <f aca="false">IF(A80="","",VLOOKUP(A80,Equipe!A:C,3,FALSE()))</f>
        <v/>
      </c>
    </row>
    <row r="81" customFormat="false" ht="12.75" hidden="false" customHeight="false" outlineLevel="0" collapsed="false">
      <c r="A81" s="128"/>
      <c r="B81" s="66" t="str">
        <f aca="false">IF(A81="","",VLOOKUP(A81,Equipe!A:B,2,FALSE()))</f>
        <v/>
      </c>
      <c r="C81" s="66" t="str">
        <f aca="false">IF(A81="","",VLOOKUP(A81,Equipe!A:C,3,FALSE()))</f>
        <v/>
      </c>
    </row>
    <row r="82" customFormat="false" ht="12.75" hidden="false" customHeight="false" outlineLevel="0" collapsed="false">
      <c r="A82" s="128"/>
      <c r="B82" s="66" t="str">
        <f aca="false">IF(A82="","",VLOOKUP(A82,Equipe!A:B,2,FALSE()))</f>
        <v/>
      </c>
      <c r="C82" s="66" t="str">
        <f aca="false">IF(A82="","",VLOOKUP(A82,Equipe!A:C,3,FALSE()))</f>
        <v/>
      </c>
    </row>
    <row r="83" customFormat="false" ht="12.75" hidden="false" customHeight="false" outlineLevel="0" collapsed="false">
      <c r="A83" s="128"/>
      <c r="B83" s="66" t="str">
        <f aca="false">IF(A83="","",VLOOKUP(A83,Equipe!A:B,2,FALSE()))</f>
        <v/>
      </c>
      <c r="C83" s="66" t="str">
        <f aca="false">IF(A83="","",VLOOKUP(A83,Equipe!A:C,3,FALSE()))</f>
        <v/>
      </c>
    </row>
    <row r="84" customFormat="false" ht="12.75" hidden="false" customHeight="false" outlineLevel="0" collapsed="false">
      <c r="A84" s="128"/>
      <c r="B84" s="66" t="str">
        <f aca="false">IF(A84="","",VLOOKUP(A84,Equipe!A:B,2,FALSE()))</f>
        <v/>
      </c>
      <c r="C84" s="66" t="str">
        <f aca="false">IF(A84="","",VLOOKUP(A84,Equipe!A:C,3,FALSE()))</f>
        <v/>
      </c>
    </row>
    <row r="85" customFormat="false" ht="12.75" hidden="false" customHeight="false" outlineLevel="0" collapsed="false">
      <c r="A85" s="128"/>
      <c r="B85" s="66" t="str">
        <f aca="false">IF(A85="","",VLOOKUP(A85,Equipe!A:B,2,FALSE()))</f>
        <v/>
      </c>
      <c r="C85" s="66" t="str">
        <f aca="false">IF(A85="","",VLOOKUP(A85,Equipe!A:C,3,FALSE()))</f>
        <v/>
      </c>
    </row>
    <row r="86" customFormat="false" ht="12.75" hidden="false" customHeight="false" outlineLevel="0" collapsed="false">
      <c r="A86" s="128"/>
      <c r="B86" s="66" t="str">
        <f aca="false">IF(A86="","",VLOOKUP(A86,Equipe!A:B,2,FALSE()))</f>
        <v/>
      </c>
      <c r="C86" s="66" t="str">
        <f aca="false">IF(A86="","",VLOOKUP(A86,Equipe!A:C,3,FALSE()))</f>
        <v/>
      </c>
    </row>
    <row r="87" customFormat="false" ht="12.75" hidden="false" customHeight="false" outlineLevel="0" collapsed="false">
      <c r="A87" s="128"/>
      <c r="B87" s="66" t="str">
        <f aca="false">IF(A87="","",VLOOKUP(A87,Equipe!A:B,2,FALSE()))</f>
        <v/>
      </c>
      <c r="C87" s="66" t="str">
        <f aca="false">IF(A87="","",VLOOKUP(A87,Equipe!A:C,3,FALSE()))</f>
        <v/>
      </c>
    </row>
    <row r="88" customFormat="false" ht="12.75" hidden="false" customHeight="false" outlineLevel="0" collapsed="false">
      <c r="A88" s="128"/>
      <c r="B88" s="66" t="str">
        <f aca="false">IF(A88="","",VLOOKUP(A88,Equipe!A:B,2,FALSE()))</f>
        <v/>
      </c>
      <c r="C88" s="66" t="str">
        <f aca="false">IF(A88="","",VLOOKUP(A88,Equipe!A:C,3,FALSE()))</f>
        <v/>
      </c>
    </row>
    <row r="89" customFormat="false" ht="12.75" hidden="false" customHeight="false" outlineLevel="0" collapsed="false">
      <c r="A89" s="128"/>
      <c r="B89" s="66" t="str">
        <f aca="false">IF(A89="","",VLOOKUP(A89,Equipe!A:B,2,FALSE()))</f>
        <v/>
      </c>
      <c r="C89" s="66" t="str">
        <f aca="false">IF(A89="","",VLOOKUP(A89,Equipe!A:C,3,FALSE()))</f>
        <v/>
      </c>
    </row>
    <row r="90" customFormat="false" ht="12.75" hidden="false" customHeight="false" outlineLevel="0" collapsed="false">
      <c r="A90" s="128"/>
      <c r="B90" s="66" t="str">
        <f aca="false">IF(A90="","",VLOOKUP(A90,Equipe!A:B,2,FALSE()))</f>
        <v/>
      </c>
      <c r="C90" s="66" t="str">
        <f aca="false">IF(A90="","",VLOOKUP(A90,Equipe!A:C,3,FALSE()))</f>
        <v/>
      </c>
    </row>
    <row r="91" customFormat="false" ht="12.75" hidden="false" customHeight="false" outlineLevel="0" collapsed="false">
      <c r="A91" s="128"/>
      <c r="B91" s="66" t="str">
        <f aca="false">IF(A91="","",VLOOKUP(A91,Equipe!A:B,2,FALSE()))</f>
        <v/>
      </c>
      <c r="C91" s="66" t="str">
        <f aca="false">IF(A91="","",VLOOKUP(A91,Equipe!A:C,3,FALSE()))</f>
        <v/>
      </c>
    </row>
    <row r="92" customFormat="false" ht="12.75" hidden="false" customHeight="false" outlineLevel="0" collapsed="false">
      <c r="A92" s="128"/>
      <c r="B92" s="66" t="str">
        <f aca="false">IF(A92="","",VLOOKUP(A92,Equipe!A:B,2,FALSE()))</f>
        <v/>
      </c>
      <c r="C92" s="66" t="str">
        <f aca="false">IF(A92="","",VLOOKUP(A92,Equipe!A:C,3,FALSE()))</f>
        <v/>
      </c>
    </row>
    <row r="93" customFormat="false" ht="12.75" hidden="false" customHeight="false" outlineLevel="0" collapsed="false">
      <c r="A93" s="128"/>
      <c r="B93" s="66" t="str">
        <f aca="false">IF(A93="","",VLOOKUP(A93,Equipe!A:B,2,FALSE()))</f>
        <v/>
      </c>
      <c r="C93" s="66" t="str">
        <f aca="false">IF(A93="","",VLOOKUP(A93,Equipe!A:C,3,FALSE()))</f>
        <v/>
      </c>
    </row>
    <row r="94" customFormat="false" ht="12.75" hidden="false" customHeight="false" outlineLevel="0" collapsed="false">
      <c r="A94" s="128"/>
      <c r="B94" s="66" t="str">
        <f aca="false">IF(A94="","",VLOOKUP(A94,Equipe!A:B,2,FALSE()))</f>
        <v/>
      </c>
      <c r="C94" s="66" t="str">
        <f aca="false">IF(A94="","",VLOOKUP(A94,Equipe!A:C,3,FALSE()))</f>
        <v/>
      </c>
    </row>
    <row r="95" customFormat="false" ht="12.75" hidden="false" customHeight="false" outlineLevel="0" collapsed="false">
      <c r="A95" s="128"/>
      <c r="B95" s="66" t="str">
        <f aca="false">IF(A95="","",VLOOKUP(A95,Equipe!A:B,2,FALSE()))</f>
        <v/>
      </c>
      <c r="C95" s="66" t="str">
        <f aca="false">IF(A95="","",VLOOKUP(A95,Equipe!A:C,3,FALSE()))</f>
        <v/>
      </c>
    </row>
    <row r="96" customFormat="false" ht="12.75" hidden="false" customHeight="false" outlineLevel="0" collapsed="false">
      <c r="A96" s="128"/>
      <c r="B96" s="66" t="str">
        <f aca="false">IF(A96="","",VLOOKUP(A96,Equipe!A:B,2,FALSE()))</f>
        <v/>
      </c>
      <c r="C96" s="66" t="str">
        <f aca="false">IF(A96="","",VLOOKUP(A96,Equipe!A:C,3,FALSE()))</f>
        <v/>
      </c>
    </row>
    <row r="97" customFormat="false" ht="12.75" hidden="false" customHeight="false" outlineLevel="0" collapsed="false">
      <c r="A97" s="128"/>
      <c r="B97" s="66" t="str">
        <f aca="false">IF(A97="","",VLOOKUP(A97,Equipe!A:B,2,FALSE()))</f>
        <v/>
      </c>
      <c r="C97" s="66" t="str">
        <f aca="false">IF(A97="","",VLOOKUP(A97,Equipe!A:C,3,FALSE()))</f>
        <v/>
      </c>
    </row>
    <row r="98" customFormat="false" ht="12.75" hidden="false" customHeight="false" outlineLevel="0" collapsed="false">
      <c r="A98" s="128"/>
      <c r="B98" s="66" t="str">
        <f aca="false">IF(A98="","",VLOOKUP(A98,Equipe!A:B,2,FALSE()))</f>
        <v/>
      </c>
      <c r="C98" s="66" t="str">
        <f aca="false">IF(A98="","",VLOOKUP(A98,Equipe!A:C,3,FALSE()))</f>
        <v/>
      </c>
    </row>
    <row r="99" customFormat="false" ht="12.75" hidden="false" customHeight="false" outlineLevel="0" collapsed="false">
      <c r="A99" s="128"/>
      <c r="B99" s="66" t="str">
        <f aca="false">IF(A99="","",VLOOKUP(A99,Equipe!A:B,2,FALSE()))</f>
        <v/>
      </c>
      <c r="C99" s="66" t="str">
        <f aca="false">IF(A99="","",VLOOKUP(A99,Equipe!A:C,3,FALSE()))</f>
        <v/>
      </c>
    </row>
    <row r="100" customFormat="false" ht="12.75" hidden="false" customHeight="false" outlineLevel="0" collapsed="false">
      <c r="A100" s="128"/>
      <c r="B100" s="66" t="str">
        <f aca="false">IF(A100="","",VLOOKUP(A100,Equipe!A:B,2,FALSE()))</f>
        <v/>
      </c>
      <c r="C100" s="66" t="str">
        <f aca="false">IF(A100="","",VLOOKUP(A100,Equipe!A:C,3,FALSE()))</f>
        <v/>
      </c>
    </row>
    <row r="101" customFormat="false" ht="12.75" hidden="false" customHeight="false" outlineLevel="0" collapsed="false">
      <c r="A101" s="128"/>
      <c r="B101" s="66" t="str">
        <f aca="false">IF(A101="","",VLOOKUP(A101,Equipe!A:B,2,FALSE()))</f>
        <v/>
      </c>
      <c r="C101" s="66" t="str">
        <f aca="false">IF(A101="","",VLOOKUP(A101,Equipe!A:C,3,FALSE()))</f>
        <v/>
      </c>
    </row>
    <row r="102" customFormat="false" ht="12.75" hidden="false" customHeight="false" outlineLevel="0" collapsed="false">
      <c r="A102" s="128"/>
      <c r="B102" s="66" t="str">
        <f aca="false">IF(A102="","",VLOOKUP(A102,Equipe!A:B,2,FALSE()))</f>
        <v/>
      </c>
      <c r="C102" s="66" t="str">
        <f aca="false">IF(A102="","",VLOOKUP(A102,Equipe!A:C,3,FALSE()))</f>
        <v/>
      </c>
    </row>
    <row r="103" customFormat="false" ht="12.75" hidden="false" customHeight="false" outlineLevel="0" collapsed="false">
      <c r="B103" s="66" t="str">
        <f aca="false">IF(A103="","",VLOOKUP(A103,Equipe!A:B,2,FALSE()))</f>
        <v/>
      </c>
      <c r="C103" s="66" t="str">
        <f aca="false">IF(A103="","",VLOOKUP(A103,Equipe!A:C,3,FALSE()))</f>
        <v/>
      </c>
    </row>
    <row r="104" customFormat="false" ht="12.75" hidden="false" customHeight="false" outlineLevel="0" collapsed="false">
      <c r="B104" s="66" t="str">
        <f aca="false">IF(A104="","",VLOOKUP(A104,Equipe!A:B,2,FALSE()))</f>
        <v/>
      </c>
      <c r="C104" s="66" t="str">
        <f aca="false">IF(A104="","",VLOOKUP(A104,Equipe!A:C,3,FALSE()))</f>
        <v/>
      </c>
    </row>
    <row r="105" customFormat="false" ht="12.75" hidden="false" customHeight="false" outlineLevel="0" collapsed="false">
      <c r="B105" s="66" t="str">
        <f aca="false">IF(A105="","",VLOOKUP(A105,Equipe!A:B,2,FALSE()))</f>
        <v/>
      </c>
      <c r="C105" s="66" t="str">
        <f aca="false">IF(A105="","",VLOOKUP(A105,Equipe!A:C,3,FALSE()))</f>
        <v/>
      </c>
    </row>
    <row r="106" customFormat="false" ht="12.75" hidden="false" customHeight="false" outlineLevel="0" collapsed="false">
      <c r="B106" s="66" t="str">
        <f aca="false">IF(A106="","",VLOOKUP(A106,Equipe!A:B,2,FALSE()))</f>
        <v/>
      </c>
      <c r="C106" s="66" t="str">
        <f aca="false">IF(A106="","",VLOOKUP(A106,Equipe!A:C,3,FALSE()))</f>
        <v/>
      </c>
    </row>
    <row r="107" customFormat="false" ht="12.75" hidden="false" customHeight="false" outlineLevel="0" collapsed="false">
      <c r="B107" s="66" t="str">
        <f aca="false">IF(A107="","",VLOOKUP(A107,Equipe!A:B,2,FALSE()))</f>
        <v/>
      </c>
      <c r="C107" s="66" t="str">
        <f aca="false">IF(A107="","",VLOOKUP(A107,Equipe!A:C,3,FALSE()))</f>
        <v/>
      </c>
    </row>
    <row r="108" customFormat="false" ht="12.75" hidden="false" customHeight="false" outlineLevel="0" collapsed="false">
      <c r="B108" s="66" t="str">
        <f aca="false">IF(A108="","",VLOOKUP(A108,Equipe!A:B,2,FALSE()))</f>
        <v/>
      </c>
      <c r="C108" s="66" t="str">
        <f aca="false">IF(A108="","",VLOOKUP(A108,Equipe!A:C,3,FALSE()))</f>
        <v/>
      </c>
    </row>
    <row r="109" customFormat="false" ht="12.75" hidden="false" customHeight="false" outlineLevel="0" collapsed="false">
      <c r="B109" s="66" t="str">
        <f aca="false">IF(A109="","",VLOOKUP(A109,Equipe!A:B,2,FALSE()))</f>
        <v/>
      </c>
      <c r="C109" s="66" t="str">
        <f aca="false">IF(A109="","",VLOOKUP(A109,Equipe!A:C,3,FALSE()))</f>
        <v/>
      </c>
    </row>
    <row r="110" customFormat="false" ht="12.75" hidden="false" customHeight="false" outlineLevel="0" collapsed="false">
      <c r="B110" s="66" t="str">
        <f aca="false">IF(A110="","",VLOOKUP(A110,Equipe!A:B,2,FALSE()))</f>
        <v/>
      </c>
      <c r="C110" s="66" t="str">
        <f aca="false">IF(A110="","",VLOOKUP(A110,Equipe!A:C,3,FALSE()))</f>
        <v/>
      </c>
    </row>
    <row r="111" customFormat="false" ht="12.75" hidden="false" customHeight="false" outlineLevel="0" collapsed="false">
      <c r="B111" s="66" t="str">
        <f aca="false">IF(A111="","",VLOOKUP(A111,Equipe!A:B,2,FALSE()))</f>
        <v/>
      </c>
      <c r="C111" s="66" t="str">
        <f aca="false">IF(A111="","",VLOOKUP(A111,Equipe!A:C,3,FALSE()))</f>
        <v/>
      </c>
    </row>
    <row r="112" customFormat="false" ht="12.75" hidden="false" customHeight="false" outlineLevel="0" collapsed="false">
      <c r="B112" s="66" t="str">
        <f aca="false">IF(A112="","",VLOOKUP(A112,Equipe!A:B,2,FALSE()))</f>
        <v/>
      </c>
      <c r="C112" s="66" t="str">
        <f aca="false">IF(A112="","",VLOOKUP(A112,Equipe!A:C,3,FALSE()))</f>
        <v/>
      </c>
    </row>
    <row r="113" customFormat="false" ht="12.75" hidden="false" customHeight="false" outlineLevel="0" collapsed="false">
      <c r="B113" s="66" t="str">
        <f aca="false">IF(A113="","",VLOOKUP(A113,Equipe!A:B,2,FALSE()))</f>
        <v/>
      </c>
      <c r="C113" s="66" t="str">
        <f aca="false">IF(A113="","",VLOOKUP(A113,Equipe!A:C,3,FALSE()))</f>
        <v/>
      </c>
    </row>
    <row r="114" customFormat="false" ht="12.75" hidden="false" customHeight="false" outlineLevel="0" collapsed="false">
      <c r="B114" s="66" t="str">
        <f aca="false">IF(A114="","",VLOOKUP(A114,Equipe!A:B,2,FALSE()))</f>
        <v/>
      </c>
      <c r="C114" s="66" t="str">
        <f aca="false">IF(A114="","",VLOOKUP(A114,Equipe!A:C,3,FALSE()))</f>
        <v/>
      </c>
    </row>
    <row r="115" customFormat="false" ht="12.75" hidden="false" customHeight="false" outlineLevel="0" collapsed="false">
      <c r="B115" s="66" t="str">
        <f aca="false">IF(A115="","",VLOOKUP(A115,Equipe!A:B,2,FALSE()))</f>
        <v/>
      </c>
      <c r="C115" s="66" t="str">
        <f aca="false">IF(A115="","",VLOOKUP(A115,Equipe!A:C,3,FALSE()))</f>
        <v/>
      </c>
    </row>
    <row r="116" customFormat="false" ht="12.75" hidden="false" customHeight="false" outlineLevel="0" collapsed="false">
      <c r="B116" s="66" t="str">
        <f aca="false">IF(A116="","",VLOOKUP(A116,Equipe!A:B,2,FALSE()))</f>
        <v/>
      </c>
      <c r="C116" s="66" t="str">
        <f aca="false">IF(A116="","",VLOOKUP(A116,Equipe!A:C,3,FALSE()))</f>
        <v/>
      </c>
    </row>
    <row r="117" customFormat="false" ht="12.75" hidden="false" customHeight="false" outlineLevel="0" collapsed="false">
      <c r="B117" s="66" t="str">
        <f aca="false">IF(A117="","",VLOOKUP(A117,Equipe!A:B,2,FALSE()))</f>
        <v/>
      </c>
      <c r="C117" s="66" t="str">
        <f aca="false">IF(A117="","",VLOOKUP(A117,Equipe!A:C,3,FALSE()))</f>
        <v/>
      </c>
    </row>
    <row r="118" customFormat="false" ht="12.75" hidden="false" customHeight="false" outlineLevel="0" collapsed="false">
      <c r="B118" s="66" t="str">
        <f aca="false">IF(A118="","",VLOOKUP(A118,Equipe!A:B,2,FALSE()))</f>
        <v/>
      </c>
      <c r="C118" s="66" t="str">
        <f aca="false">IF(A118="","",VLOOKUP(A118,Equipe!A:C,3,FALSE()))</f>
        <v/>
      </c>
    </row>
    <row r="119" customFormat="false" ht="12.75" hidden="false" customHeight="false" outlineLevel="0" collapsed="false">
      <c r="B119" s="66" t="str">
        <f aca="false">IF(A119="","",VLOOKUP(A119,Equipe!A:B,2,FALSE()))</f>
        <v/>
      </c>
      <c r="C119" s="66" t="str">
        <f aca="false">IF(A119="","",VLOOKUP(A119,Equipe!A:C,3,FALSE()))</f>
        <v/>
      </c>
    </row>
    <row r="120" customFormat="false" ht="12.75" hidden="false" customHeight="false" outlineLevel="0" collapsed="false">
      <c r="B120" s="66" t="str">
        <f aca="false">IF(A120="","",VLOOKUP(A120,Equipe!A:B,2,FALSE()))</f>
        <v/>
      </c>
      <c r="C120" s="66" t="str">
        <f aca="false">IF(A120="","",VLOOKUP(A120,Equipe!A:C,3,FALSE()))</f>
        <v/>
      </c>
    </row>
    <row r="121" customFormat="false" ht="12.75" hidden="false" customHeight="false" outlineLevel="0" collapsed="false">
      <c r="B121" s="66" t="str">
        <f aca="false">IF(A121="","",VLOOKUP(A121,Equipe!A:B,2,FALSE()))</f>
        <v/>
      </c>
      <c r="C121" s="66" t="str">
        <f aca="false">IF(A121="","",VLOOKUP(A121,Equipe!A:C,3,FALSE()))</f>
        <v/>
      </c>
    </row>
    <row r="122" customFormat="false" ht="12.75" hidden="false" customHeight="false" outlineLevel="0" collapsed="false">
      <c r="B122" s="66" t="str">
        <f aca="false">IF(A122="","",VLOOKUP(A122,Equipe!A:B,2,FALSE()))</f>
        <v/>
      </c>
      <c r="C122" s="66" t="str">
        <f aca="false">IF(A122="","",VLOOKUP(A122,Equipe!A:C,3,FALSE()))</f>
        <v/>
      </c>
    </row>
    <row r="123" customFormat="false" ht="12.75" hidden="false" customHeight="false" outlineLevel="0" collapsed="false">
      <c r="B123" s="66" t="str">
        <f aca="false">IF(A123="","",VLOOKUP(A123,Equipe!A:B,2,FALSE()))</f>
        <v/>
      </c>
      <c r="C123" s="66" t="str">
        <f aca="false">IF(A123="","",VLOOKUP(A123,Equipe!A:C,3,FALSE()))</f>
        <v/>
      </c>
    </row>
    <row r="124" customFormat="false" ht="12.75" hidden="false" customHeight="false" outlineLevel="0" collapsed="false">
      <c r="B124" s="66" t="str">
        <f aca="false">IF(A124="","",VLOOKUP(A124,Equipe!A:B,2,FALSE()))</f>
        <v/>
      </c>
      <c r="C124" s="66" t="str">
        <f aca="false">IF(A124="","",VLOOKUP(A124,Equipe!A:C,3,FALSE()))</f>
        <v/>
      </c>
    </row>
    <row r="125" customFormat="false" ht="12.75" hidden="false" customHeight="false" outlineLevel="0" collapsed="false">
      <c r="B125" s="66" t="str">
        <f aca="false">IF(A125="","",VLOOKUP(A125,Equipe!A:B,2,FALSE()))</f>
        <v/>
      </c>
      <c r="C125" s="66" t="str">
        <f aca="false">IF(A125="","",VLOOKUP(A125,Equipe!A:C,3,FALSE()))</f>
        <v/>
      </c>
    </row>
    <row r="126" customFormat="false" ht="12.75" hidden="false" customHeight="false" outlineLevel="0" collapsed="false">
      <c r="B126" s="66" t="str">
        <f aca="false">IF(A126="","",VLOOKUP(A126,Equipe!A:B,2,FALSE()))</f>
        <v/>
      </c>
      <c r="C126" s="66" t="str">
        <f aca="false">IF(A126="","",VLOOKUP(A126,Equipe!A:C,3,FALSE()))</f>
        <v/>
      </c>
    </row>
    <row r="127" customFormat="false" ht="12.75" hidden="false" customHeight="false" outlineLevel="0" collapsed="false">
      <c r="B127" s="66" t="str">
        <f aca="false">IF(A127="","",VLOOKUP(A127,Equipe!A:B,2,FALSE()))</f>
        <v/>
      </c>
      <c r="C127" s="66" t="str">
        <f aca="false">IF(A127="","",VLOOKUP(A127,Equipe!A:C,3,FALSE()))</f>
        <v/>
      </c>
    </row>
    <row r="128" customFormat="false" ht="12.75" hidden="false" customHeight="false" outlineLevel="0" collapsed="false">
      <c r="B128" s="66" t="str">
        <f aca="false">IF(A128="","",VLOOKUP(A128,Equipe!A:B,2,FALSE()))</f>
        <v/>
      </c>
      <c r="C128" s="66" t="str">
        <f aca="false">IF(A128="","",VLOOKUP(A128,Equipe!A:C,3,FALSE()))</f>
        <v/>
      </c>
    </row>
    <row r="129" customFormat="false" ht="12.75" hidden="false" customHeight="false" outlineLevel="0" collapsed="false">
      <c r="B129" s="66" t="str">
        <f aca="false">IF(A129="","",VLOOKUP(A129,Equipe!A:B,2,FALSE()))</f>
        <v/>
      </c>
      <c r="C129" s="66" t="str">
        <f aca="false">IF(A129="","",VLOOKUP(A129,Equipe!A:C,3,FALSE()))</f>
        <v/>
      </c>
    </row>
    <row r="130" customFormat="false" ht="12.75" hidden="false" customHeight="false" outlineLevel="0" collapsed="false">
      <c r="B130" s="66" t="str">
        <f aca="false">IF(A130="","",VLOOKUP(A130,Equipe!A:B,2,FALSE()))</f>
        <v/>
      </c>
      <c r="C130" s="66" t="str">
        <f aca="false">IF(A130="","",VLOOKUP(A130,Equipe!A:C,3,FALSE()))</f>
        <v/>
      </c>
    </row>
    <row r="131" customFormat="false" ht="12.75" hidden="false" customHeight="false" outlineLevel="0" collapsed="false">
      <c r="B131" s="66" t="str">
        <f aca="false">IF(A131="","",VLOOKUP(A131,Equipe!A:B,2,FALSE()))</f>
        <v/>
      </c>
      <c r="C131" s="66" t="str">
        <f aca="false">IF(A131="","",VLOOKUP(A131,Equipe!A:C,3,FALSE()))</f>
        <v/>
      </c>
    </row>
    <row r="132" customFormat="false" ht="12.75" hidden="false" customHeight="false" outlineLevel="0" collapsed="false">
      <c r="B132" s="66" t="str">
        <f aca="false">IF(A132="","",VLOOKUP(A132,Equipe!A:B,2,FALSE()))</f>
        <v/>
      </c>
      <c r="C132" s="66" t="str">
        <f aca="false">IF(A132="","",VLOOKUP(A132,Equipe!A:C,3,FALSE()))</f>
        <v/>
      </c>
    </row>
    <row r="133" customFormat="false" ht="12.75" hidden="false" customHeight="false" outlineLevel="0" collapsed="false">
      <c r="B133" s="66" t="str">
        <f aca="false">IF(A133="","",VLOOKUP(A133,Equipe!A:B,2,FALSE()))</f>
        <v/>
      </c>
      <c r="C133" s="66" t="str">
        <f aca="false">IF(A133="","",VLOOKUP(A133,Equipe!A:C,3,FALSE()))</f>
        <v/>
      </c>
    </row>
    <row r="134" customFormat="false" ht="12.75" hidden="false" customHeight="false" outlineLevel="0" collapsed="false">
      <c r="B134" s="66" t="str">
        <f aca="false">IF(A134="","",VLOOKUP(A134,Equipe!A:B,2,FALSE()))</f>
        <v/>
      </c>
      <c r="C134" s="66" t="str">
        <f aca="false">IF(A134="","",VLOOKUP(A134,Equipe!A:C,3,FALSE()))</f>
        <v/>
      </c>
    </row>
    <row r="135" customFormat="false" ht="12.75" hidden="false" customHeight="false" outlineLevel="0" collapsed="false">
      <c r="B135" s="66" t="str">
        <f aca="false">IF(A135="","",VLOOKUP(A135,Equipe!A:B,2,FALSE()))</f>
        <v/>
      </c>
      <c r="C135" s="66" t="str">
        <f aca="false">IF(A135="","",VLOOKUP(A135,Equipe!A:C,3,FALSE()))</f>
        <v/>
      </c>
    </row>
    <row r="136" customFormat="false" ht="12.75" hidden="false" customHeight="false" outlineLevel="0" collapsed="false">
      <c r="B136" s="66" t="str">
        <f aca="false">IF(A136="","",VLOOKUP(A136,Equipe!A:B,2,FALSE()))</f>
        <v/>
      </c>
      <c r="C136" s="66" t="str">
        <f aca="false">IF(A136="","",VLOOKUP(A136,Equipe!A:C,3,FALSE()))</f>
        <v/>
      </c>
    </row>
    <row r="137" customFormat="false" ht="12.75" hidden="false" customHeight="false" outlineLevel="0" collapsed="false">
      <c r="B137" s="66" t="str">
        <f aca="false">IF(A137="","",VLOOKUP(A137,Equipe!A:B,2,FALSE()))</f>
        <v/>
      </c>
      <c r="C137" s="66" t="str">
        <f aca="false">IF(A137="","",VLOOKUP(A137,Equipe!A:C,3,FALSE()))</f>
        <v/>
      </c>
    </row>
    <row r="138" customFormat="false" ht="12.75" hidden="false" customHeight="false" outlineLevel="0" collapsed="false">
      <c r="B138" s="66" t="str">
        <f aca="false">IF(A138="","",VLOOKUP(A138,Equipe!A:B,2,FALSE()))</f>
        <v/>
      </c>
      <c r="C138" s="66" t="str">
        <f aca="false">IF(A138="","",VLOOKUP(A138,Equipe!A:C,3,FALSE()))</f>
        <v/>
      </c>
    </row>
    <row r="139" customFormat="false" ht="12.75" hidden="false" customHeight="false" outlineLevel="0" collapsed="false">
      <c r="B139" s="66" t="str">
        <f aca="false">IF(A139="","",VLOOKUP(A139,Equipe!A:B,2,FALSE()))</f>
        <v/>
      </c>
      <c r="C139" s="66" t="str">
        <f aca="false">IF(A139="","",VLOOKUP(A139,Equipe!A:C,3,FALSE()))</f>
        <v/>
      </c>
    </row>
  </sheetData>
  <autoFilter ref="A5:AB139">
    <sortState ref="A6:AB139">
      <sortCondition ref="A6:A139" customList=""/>
    </sortState>
  </autoFilter>
  <mergeCells count="4">
    <mergeCell ref="A1:AB2"/>
    <mergeCell ref="J4:M4"/>
    <mergeCell ref="O4:P4"/>
    <mergeCell ref="Q4:U4"/>
  </mergeCells>
  <dataValidations count="2">
    <dataValidation allowBlank="true" errorStyle="stop" operator="between" showDropDown="false" showErrorMessage="true" showInputMessage="true" sqref="A1:A5 A103:A1139" type="list">
      <formula1>"ADP,MP,ADL,APL"</formula1>
      <formula2>0</formula2>
    </dataValidation>
    <dataValidation allowBlank="true" errorStyle="stop" operator="between" showDropDown="false" showErrorMessage="true" showInputMessage="true" sqref="A6:A102" type="list">
      <formula1>"EUP,CFP,PA,NP"</formula1>
      <formula2>0</formula2>
    </dataValidation>
  </dataValidations>
  <printOptions headings="false" gridLines="false" gridLinesSet="true" horizontalCentered="false" verticalCentered="false"/>
  <pageMargins left="0.236111111111111" right="0.236111111111111" top="0.157638888888889" bottom="0.157638888888889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9</xdr:col>
                    <xdr:colOff>30600</xdr:colOff>
                    <xdr:row>3</xdr:row>
                    <xdr:rowOff>23040</xdr:rowOff>
                  </from>
                  <to>
                    <xdr:col>10</xdr:col>
                    <xdr:colOff>320040</xdr:colOff>
                    <xdr:row>4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CommandButton2">
              <controlPr defaultSize="0" print="true" autoFill="0" autoPict="0">
                <anchor moveWithCells="true" sizeWithCells="false">
                  <from>
                    <xdr:col>10</xdr:col>
                    <xdr:colOff>0</xdr:colOff>
                    <xdr:row>3</xdr:row>
                    <xdr:rowOff>23040</xdr:rowOff>
                  </from>
                  <to>
                    <xdr:col>11</xdr:col>
                    <xdr:colOff>-1280160</xdr:colOff>
                    <xdr:row>4</xdr:row>
                    <xdr:rowOff>-45720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1" activeCellId="0" sqref="A1"/>
    </sheetView>
  </sheetViews>
  <sheetFormatPr defaultColWidth="10.54296875" defaultRowHeight="12.75" customHeight="false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TotalTime>6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2018-01-17T11:28:07Z</dcterms:created>
  <dc:creator>SAP WebAS</dc:creator>
  <dc:description/>
  <dc:language>fr-FR</dc:language>
  <cp:lastModifiedBy/>
  <cp:lastPrinted>2024-01-15T08:26:54Z</cp:lastPrinted>
  <dcterms:modified xsi:type="dcterms:W3CDTF">2026-04-20T13:57:04Z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